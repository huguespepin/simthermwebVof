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HANGELOG_v6" sheetId="1" state="visible" r:id="rId1"/>
    <sheet xmlns:r="http://schemas.openxmlformats.org/officeDocument/2006/relationships" name="BD_PAYS" sheetId="2" state="visible" r:id="rId2"/>
    <sheet xmlns:r="http://schemas.openxmlformats.org/officeDocument/2006/relationships" name="BD_CLIMAT" sheetId="3" state="visible" r:id="rId3"/>
    <sheet xmlns:r="http://schemas.openxmlformats.org/officeDocument/2006/relationships" name="BD_MATERIAUX" sheetId="4" state="visible" r:id="rId4"/>
    <sheet xmlns:r="http://schemas.openxmlformats.org/officeDocument/2006/relationships" name="BD_BATIMENTS" sheetId="5" state="visible" r:id="rId5"/>
    <sheet xmlns:r="http://schemas.openxmlformats.org/officeDocument/2006/relationships" name="GUIDE_CONSTITUTION" sheetId="6" state="visible" r:id="rId6"/>
  </sheets>
  <definedNames>
    <definedName name="_xlnm._FilterDatabase" localSheetId="1" hidden="1">'BD_PAYS'!$A$4:$P$4</definedName>
    <definedName name="_xlnm._FilterDatabase" localSheetId="2" hidden="1">'BD_CLIMAT'!$A$4:$P$4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7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color rgb="FF111111"/>
      <sz val="10"/>
    </font>
    <font>
      <name val="Arial"/>
      <charset val="1"/>
      <family val="0"/>
      <color rgb="FF1A5C1A"/>
      <sz val="10"/>
    </font>
    <font>
      <name val="Arial"/>
      <charset val="1"/>
      <family val="0"/>
      <b val="1"/>
      <i val="1"/>
      <color rgb="FF7F6000"/>
      <sz val="9"/>
    </font>
    <font>
      <name val="Arial"/>
      <charset val="1"/>
      <family val="0"/>
      <color rgb="FF1F3864"/>
      <sz val="10"/>
    </font>
    <font>
      <name val="Arial"/>
      <charset val="1"/>
      <family val="0"/>
      <b val="1"/>
      <color rgb="FF111111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i val="1"/>
      <color rgb="FF2E5596"/>
      <sz val="9"/>
    </font>
    <font>
      <name val="Arial"/>
      <charset val="1"/>
      <family val="0"/>
      <b val="1"/>
      <color rgb="FF1A5C1A"/>
      <sz val="10"/>
    </font>
    <font>
      <name val="Arial"/>
      <charset val="1"/>
      <family val="0"/>
      <color rgb="FF595959"/>
      <sz val="10"/>
    </font>
    <font>
      <name val="Arial"/>
      <charset val="1"/>
      <family val="0"/>
      <b val="1"/>
      <color rgb="FF00695C"/>
      <sz val="10"/>
    </font>
    <font>
      <name val="Arial"/>
      <charset val="1"/>
      <family val="0"/>
      <b val="1"/>
      <color rgb="FFC55A11"/>
      <sz val="10"/>
    </font>
    <font>
      <name val="Arial"/>
      <charset val="1"/>
      <family val="0"/>
      <b val="1"/>
      <color rgb="FF7F6000"/>
      <sz val="10"/>
    </font>
    <font>
      <name val="Arial"/>
      <charset val="1"/>
      <family val="0"/>
      <color rgb="FF2E5596"/>
      <sz val="10"/>
    </font>
    <font>
      <name val="Arial"/>
      <charset val="1"/>
      <family val="0"/>
      <b val="1"/>
      <color rgb="FF2E5596"/>
      <sz val="10"/>
    </font>
    <font>
      <name val="Arial"/>
      <charset val="1"/>
      <family val="0"/>
      <b val="1"/>
      <color rgb="FF548235"/>
      <sz val="10"/>
    </font>
    <font>
      <name val="Arial"/>
      <charset val="1"/>
      <family val="0"/>
      <b val="1"/>
      <color rgb="FFC0000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1F3864"/>
      <sz val="9"/>
    </font>
    <font>
      <name val="Arial"/>
      <charset val="1"/>
      <family val="0"/>
      <color rgb="FF2E5596"/>
      <sz val="9"/>
    </font>
    <font>
      <name val="Arial"/>
      <charset val="1"/>
      <family val="0"/>
      <i val="1"/>
      <color rgb="FF111111"/>
      <sz val="9"/>
    </font>
    <font>
      <name val="Arial"/>
      <charset val="1"/>
      <family val="0"/>
      <color rgb="FF111111"/>
      <sz val="9"/>
    </font>
    <font>
      <name val="Arial"/>
      <color rgb="00111111"/>
      <sz val="9"/>
    </font>
    <font>
      <name val="Arial"/>
      <i val="1"/>
      <color rgb="00595959"/>
      <sz val="9"/>
    </font>
    <font>
      <name val="Arial"/>
      <b val="1"/>
      <color rgb="001A5C1A"/>
      <sz val="9"/>
    </font>
    <font>
      <name val="Arial"/>
      <b val="1"/>
      <color rgb="002E5596"/>
      <sz val="9"/>
    </font>
    <font>
      <name val="Arial"/>
      <i val="1"/>
      <color rgb="00999999"/>
      <sz val="8"/>
    </font>
    <font>
      <name val="Arial"/>
      <b val="1"/>
      <color rgb="007F6000"/>
      <sz val="9"/>
    </font>
    <font>
      <name val="Arial"/>
      <b val="1"/>
      <color rgb="001F3864"/>
      <sz val="9"/>
    </font>
    <font>
      <name val="Arial"/>
      <b val="1"/>
      <color rgb="00FFFFFF"/>
      <sz val="9"/>
    </font>
    <font>
      <name val="Arial"/>
      <color rgb="001F3864"/>
      <sz val="9"/>
    </font>
    <font>
      <name val="Arial"/>
      <color rgb="00595959"/>
      <sz val="9"/>
    </font>
    <font>
      <name val="Arial"/>
      <color rgb="002E5596"/>
      <sz val="9"/>
    </font>
    <font>
      <name val="Arial"/>
      <color rgb="002E75B6"/>
      <sz val="9"/>
    </font>
    <font>
      <name val="Arial"/>
      <color rgb="000070C0"/>
      <sz val="9"/>
    </font>
    <font>
      <name val="Arial"/>
      <color rgb="0000B0F0"/>
      <sz val="9"/>
    </font>
    <font>
      <name val="Arial"/>
      <color rgb="0000B050"/>
      <sz val="9"/>
    </font>
    <font>
      <name val="Arial"/>
      <color rgb="00538135"/>
      <sz val="9"/>
    </font>
    <font>
      <name val="Arial"/>
      <color rgb="0070AD47"/>
      <sz val="9"/>
    </font>
    <font>
      <name val="Arial"/>
      <color rgb="00C55A11"/>
      <sz val="9"/>
    </font>
    <font>
      <name val="Arial"/>
      <color rgb="00BF8F00"/>
      <sz val="9"/>
    </font>
    <font>
      <name val="Arial"/>
      <color rgb="007B0D9E"/>
      <sz val="9"/>
    </font>
    <font>
      <name val="Arial"/>
      <color rgb="00843C0C"/>
      <sz val="9"/>
    </font>
    <font>
      <name val="Arial"/>
      <b val="1"/>
      <color rgb="00111111"/>
      <sz val="9"/>
    </font>
    <font>
      <name val="Arial"/>
      <b val="1"/>
      <color rgb="00FFFFFF"/>
      <sz val="12"/>
    </font>
    <font>
      <name val="Arial"/>
      <i val="1"/>
      <color rgb="001F3864"/>
      <sz val="9"/>
    </font>
    <font>
      <name val="Arial"/>
      <b val="1"/>
      <color rgb="001A5C1A"/>
      <sz val="10"/>
    </font>
    <font>
      <name val="Arial"/>
      <color rgb="001A5C1A"/>
      <sz val="9"/>
    </font>
    <font>
      <name val="Arial"/>
      <b val="1"/>
      <color rgb="00C00000"/>
      <sz val="10"/>
    </font>
    <font>
      <name val="Arial"/>
      <b val="1"/>
      <color rgb="002E5596"/>
      <sz val="10"/>
    </font>
    <font>
      <name val="Arial"/>
      <color rgb="00C00000"/>
      <sz val="9"/>
    </font>
    <font>
      <name val="Arial"/>
      <color rgb="00595959"/>
      <sz val="8"/>
    </font>
    <font>
      <name val="Arial"/>
      <b val="1"/>
      <color rgb="007F6000"/>
      <sz val="10"/>
    </font>
    <font>
      <name val="Arial"/>
      <color rgb="007F6000"/>
      <sz val="9"/>
    </font>
    <font>
      <name val="Arial"/>
      <b val="1"/>
      <color rgb="00C55A11"/>
      <sz val="9"/>
    </font>
    <font>
      <name val="Arial"/>
      <b val="1"/>
      <color rgb="00C55A11"/>
      <sz val="10"/>
    </font>
    <font>
      <name val="Arial"/>
      <b val="1"/>
      <color rgb="007B0D9E"/>
      <sz val="9"/>
    </font>
    <font>
      <name val="Arial"/>
      <b val="1"/>
      <color rgb="007B0D9E"/>
      <sz val="10"/>
    </font>
    <font>
      <name val="Calibri"/>
      <b val="1"/>
      <color rgb="001F4E78"/>
      <sz val="14"/>
    </font>
    <font>
      <name val="Calibri"/>
      <i val="1"/>
      <sz val="10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1F4E78"/>
    </font>
    <font>
      <b val="1"/>
      <color rgb="00C00000"/>
    </font>
    <font>
      <i val="1"/>
      <color rgb="00C00000"/>
    </font>
    <font>
      <name val="Calibri"/>
      <i val="1"/>
      <color rgb="00C00000"/>
      <sz val="10"/>
    </font>
    <font>
      <b val="1"/>
      <color rgb="001F4E78"/>
      <sz val="12"/>
    </font>
    <font>
      <i val="1"/>
    </font>
  </fonts>
  <fills count="50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596"/>
        <bgColor rgb="FF1F3864"/>
      </patternFill>
    </fill>
    <fill>
      <patternFill patternType="solid">
        <fgColor rgb="FFE2EFDA"/>
        <bgColor rgb="FFD5EFD5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FF3E0"/>
      </patternFill>
    </fill>
    <fill>
      <patternFill patternType="solid">
        <fgColor rgb="FFF2F2F2"/>
        <bgColor rgb="FFF0F0F0"/>
      </patternFill>
    </fill>
    <fill>
      <patternFill patternType="solid">
        <fgColor rgb="FFDEEAF1"/>
        <bgColor rgb="FFE3F2FD"/>
      </patternFill>
    </fill>
    <fill>
      <patternFill patternType="solid">
        <fgColor rgb="FFFCE4D6"/>
        <bgColor rgb="FFFFE0E0"/>
      </patternFill>
    </fill>
    <fill>
      <patternFill patternType="solid">
        <fgColor rgb="FF00695C"/>
        <bgColor rgb="FF008080"/>
      </patternFill>
    </fill>
    <fill>
      <patternFill patternType="solid">
        <fgColor rgb="FF548235"/>
        <bgColor rgb="FF595959"/>
      </patternFill>
    </fill>
    <fill>
      <patternFill patternType="solid">
        <fgColor rgb="FFC55A11"/>
        <bgColor rgb="FF993300"/>
      </patternFill>
    </fill>
    <fill>
      <patternFill patternType="solid">
        <fgColor rgb="FFF3E5F5"/>
        <bgColor rgb="FFF0F0F0"/>
      </patternFill>
    </fill>
    <fill>
      <patternFill patternType="solid">
        <fgColor rgb="FF1A5C1A"/>
        <bgColor rgb="FF00695C"/>
      </patternFill>
    </fill>
    <fill>
      <patternFill patternType="solid">
        <fgColor rgb="FFE0F4F4"/>
        <bgColor rgb="FFE3F2FD"/>
      </patternFill>
    </fill>
    <fill>
      <patternFill patternType="solid">
        <fgColor rgb="FFFFE0E0"/>
        <bgColor rgb="FFFCE4D6"/>
      </patternFill>
    </fill>
    <fill>
      <patternFill patternType="solid">
        <fgColor rgb="FFC00000"/>
        <bgColor rgb="FF800000"/>
      </patternFill>
    </fill>
    <fill>
      <patternFill patternType="solid">
        <fgColor rgb="FFFFF3E0"/>
        <bgColor rgb="FFFFF2CC"/>
      </patternFill>
    </fill>
    <fill>
      <patternFill patternType="solid">
        <fgColor rgb="FFE8F5E9"/>
        <bgColor rgb="FFE0F4F4"/>
      </patternFill>
    </fill>
    <fill>
      <patternFill patternType="solid">
        <fgColor rgb="FFE3F2FD"/>
        <bgColor rgb="FFE0F4F4"/>
      </patternFill>
    </fill>
    <fill>
      <patternFill patternType="solid">
        <fgColor rgb="FF595959"/>
        <bgColor rgb="FF2E5596"/>
      </patternFill>
    </fill>
    <fill>
      <patternFill patternType="solid">
        <fgColor rgb="FFD5EFD5"/>
        <bgColor rgb="FFE2EFDA"/>
      </patternFill>
    </fill>
    <fill>
      <patternFill patternType="solid">
        <fgColor rgb="FFF0F0F0"/>
        <bgColor rgb="FFF2F2F2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DEEAF1"/>
      </patternFill>
    </fill>
    <fill>
      <patternFill patternType="solid">
        <fgColor rgb="00E0E0E0"/>
      </patternFill>
    </fill>
    <fill>
      <patternFill patternType="solid">
        <fgColor rgb="00FFF2CC"/>
      </patternFill>
    </fill>
    <fill>
      <patternFill patternType="solid">
        <fgColor rgb="002E5596"/>
      </patternFill>
    </fill>
    <fill>
      <patternFill patternType="solid">
        <fgColor rgb="00548235"/>
      </patternFill>
    </fill>
    <fill>
      <patternFill patternType="solid">
        <fgColor rgb="00C55A11"/>
      </patternFill>
    </fill>
    <fill>
      <patternFill patternType="solid">
        <fgColor rgb="00FCE4D6"/>
      </patternFill>
    </fill>
    <fill>
      <patternFill patternType="solid">
        <fgColor rgb="00F3E5F5"/>
      </patternFill>
    </fill>
    <fill>
      <patternFill patternType="solid">
        <fgColor rgb="001A5C1A"/>
      </patternFill>
    </fill>
    <fill>
      <patternFill patternType="solid">
        <fgColor rgb="00E0F4F4"/>
      </patternFill>
    </fill>
    <fill>
      <patternFill patternType="solid">
        <fgColor rgb="00FFE0E0"/>
      </patternFill>
    </fill>
    <fill>
      <patternFill patternType="solid">
        <fgColor rgb="00C00000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DECEA"/>
      </patternFill>
    </fill>
    <fill>
      <patternFill patternType="solid">
        <fgColor rgb="00E3F2FD"/>
      </patternFill>
    </fill>
    <fill>
      <patternFill patternType="solid">
        <fgColor rgb="001F3864"/>
      </patternFill>
    </fill>
    <fill>
      <patternFill patternType="solid">
        <fgColor rgb="00F9F9F9"/>
      </patternFill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E7F1FF"/>
      </patternFill>
    </fill>
    <fill>
      <patternFill patternType="solid">
        <fgColor rgb="002E75B6"/>
      </patternFill>
    </fill>
  </fills>
  <borders count="17">
    <border>
      <left/>
      <right/>
      <top/>
      <bottom/>
      <diagonal/>
    </border>
    <border>
      <left style="medium">
        <color rgb="FF2E5596"/>
      </left>
      <right style="medium">
        <color rgb="FF2E5596"/>
      </right>
      <top style="medium">
        <color rgb="FF2E5596"/>
      </top>
      <bottom style="medium">
        <color rgb="FF2E5596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medium">
        <color rgb="002E5596"/>
      </left>
      <right style="medium">
        <color rgb="002E5596"/>
      </right>
      <top style="medium">
        <color rgb="002E5596"/>
      </top>
      <bottom style="medium">
        <color rgb="002E5596"/>
      </bottom>
    </border>
    <border>
      <left/>
      <right/>
      <top style="medium">
        <color rgb="002E5596"/>
      </top>
      <bottom/>
      <diagonal/>
    </border>
    <border>
      <left/>
      <right style="medium">
        <color rgb="002E5596"/>
      </right>
      <top style="medium">
        <color rgb="002E5596"/>
      </top>
      <bottom/>
      <diagonal/>
    </border>
    <border>
      <left/>
      <right/>
      <top style="medium">
        <color rgb="002E5596"/>
      </top>
      <bottom style="medium">
        <color rgb="002E5596"/>
      </bottom>
      <diagonal/>
    </border>
    <border>
      <left/>
      <right style="medium">
        <color rgb="002E5596"/>
      </right>
      <top style="medium">
        <color rgb="002E5596"/>
      </top>
      <bottom style="medium">
        <color rgb="002E5596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left" vertical="center" wrapText="1"/>
    </xf>
    <xf numFmtId="0" fontId="8" fillId="9" borderId="2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11" fillId="8" borderId="2" applyAlignment="1" pivotButton="0" quotePrefix="0" xfId="0">
      <alignment horizontal="center" vertical="center" wrapText="1"/>
    </xf>
    <xf numFmtId="0" fontId="12" fillId="5" borderId="2" applyAlignment="1" pivotButton="0" quotePrefix="0" xfId="0">
      <alignment horizontal="left" vertical="center" wrapText="1"/>
    </xf>
    <xf numFmtId="0" fontId="13" fillId="3" borderId="2" applyAlignment="1" pivotButton="0" quotePrefix="0" xfId="0">
      <alignment horizontal="center" vertical="center"/>
    </xf>
    <xf numFmtId="0" fontId="12" fillId="7" borderId="2" applyAlignment="1" pivotButton="0" quotePrefix="0" xfId="0">
      <alignment horizontal="left" vertical="center" wrapText="1"/>
    </xf>
    <xf numFmtId="0" fontId="13" fillId="11" borderId="2" applyAlignment="1" pivotButton="0" quotePrefix="0" xfId="0">
      <alignment horizontal="center" vertical="center"/>
    </xf>
    <xf numFmtId="0" fontId="13" fillId="12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center" vertical="center" wrapText="1"/>
    </xf>
    <xf numFmtId="0" fontId="7" fillId="13" borderId="2" applyAlignment="1" pivotButton="0" quotePrefix="0" xfId="0">
      <alignment horizontal="left" vertical="center" wrapText="1"/>
    </xf>
    <xf numFmtId="0" fontId="11" fillId="13" borderId="2" applyAlignment="1" pivotButton="0" quotePrefix="0" xfId="0">
      <alignment horizontal="center" vertical="center" wrapText="1"/>
    </xf>
    <xf numFmtId="0" fontId="13" fillId="14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 wrapText="1"/>
    </xf>
    <xf numFmtId="0" fontId="7" fillId="15" borderId="2" applyAlignment="1" pivotButton="0" quotePrefix="0" xfId="0">
      <alignment horizontal="left" vertical="center" wrapText="1"/>
    </xf>
    <xf numFmtId="0" fontId="11" fillId="15" borderId="2" applyAlignment="1" pivotButton="0" quotePrefix="0" xfId="0">
      <alignment horizontal="center" vertical="center" wrapText="1"/>
    </xf>
    <xf numFmtId="0" fontId="7" fillId="16" borderId="2" applyAlignment="1" pivotButton="0" quotePrefix="0" xfId="0">
      <alignment horizontal="left" vertical="center" wrapText="1"/>
    </xf>
    <xf numFmtId="0" fontId="11" fillId="16" borderId="2" applyAlignment="1" pivotButton="0" quotePrefix="0" xfId="0">
      <alignment horizontal="center" vertical="center" wrapText="1"/>
    </xf>
    <xf numFmtId="0" fontId="13" fillId="17" borderId="2" applyAlignment="1" pivotButton="0" quotePrefix="0" xfId="0">
      <alignment horizontal="center" vertical="center"/>
    </xf>
    <xf numFmtId="0" fontId="7" fillId="18" borderId="2" applyAlignment="1" pivotButton="0" quotePrefix="0" xfId="0">
      <alignment horizontal="left" vertical="center" wrapText="1"/>
    </xf>
    <xf numFmtId="0" fontId="11" fillId="18" borderId="2" applyAlignment="1" pivotButton="0" quotePrefix="0" xfId="0">
      <alignment horizontal="center" vertical="center" wrapText="1"/>
    </xf>
    <xf numFmtId="0" fontId="7" fillId="19" borderId="2" applyAlignment="1" pivotButton="0" quotePrefix="0" xfId="0">
      <alignment horizontal="left" vertical="center" wrapText="1"/>
    </xf>
    <xf numFmtId="0" fontId="11" fillId="19" borderId="2" applyAlignment="1" pivotButton="0" quotePrefix="0" xfId="0">
      <alignment horizontal="center" vertical="center" wrapText="1"/>
    </xf>
    <xf numFmtId="0" fontId="7" fillId="20" borderId="2" applyAlignment="1" pivotButton="0" quotePrefix="0" xfId="0">
      <alignment horizontal="left" vertical="center" wrapText="1"/>
    </xf>
    <xf numFmtId="0" fontId="11" fillId="20" borderId="2" applyAlignment="1" pivotButton="0" quotePrefix="0" xfId="0">
      <alignment horizontal="center" vertical="center" wrapText="1"/>
    </xf>
    <xf numFmtId="0" fontId="14" fillId="8" borderId="3" applyAlignment="1" pivotButton="0" quotePrefix="0" xfId="0">
      <alignment horizontal="left" vertical="center" wrapText="1"/>
    </xf>
    <xf numFmtId="0" fontId="6" fillId="21" borderId="1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center" vertical="center" wrapText="1"/>
    </xf>
    <xf numFmtId="0" fontId="16" fillId="8" borderId="2" applyAlignment="1" pivotButton="0" quotePrefix="0" xfId="0">
      <alignment horizontal="center" vertical="center" wrapText="1"/>
    </xf>
    <xf numFmtId="0" fontId="16" fillId="7" borderId="2" applyAlignment="1" pivotButton="0" quotePrefix="0" xfId="0">
      <alignment horizontal="left" vertical="center" wrapText="1"/>
    </xf>
    <xf numFmtId="0" fontId="17" fillId="15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19" fillId="6" borderId="2" applyAlignment="1" pivotButton="0" quotePrefix="0" xfId="0">
      <alignment horizontal="center" vertical="center" wrapText="1"/>
    </xf>
    <xf numFmtId="0" fontId="20" fillId="5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right" vertical="center" wrapText="1"/>
    </xf>
    <xf numFmtId="0" fontId="20" fillId="7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right" vertical="center" wrapText="1"/>
    </xf>
    <xf numFmtId="0" fontId="21" fillId="8" borderId="2" applyAlignment="1" pivotButton="0" quotePrefix="0" xfId="0">
      <alignment horizontal="center" vertical="center" wrapText="1"/>
    </xf>
    <xf numFmtId="0" fontId="22" fillId="22" borderId="2" applyAlignment="1" pivotButton="0" quotePrefix="0" xfId="0">
      <alignment horizontal="center" vertical="center" wrapText="1"/>
    </xf>
    <xf numFmtId="0" fontId="23" fillId="16" borderId="2" applyAlignment="1" pivotButton="0" quotePrefix="0" xfId="0">
      <alignment horizontal="center" vertical="center" wrapText="1"/>
    </xf>
    <xf numFmtId="0" fontId="7" fillId="23" borderId="2" applyAlignment="1" pivotButton="0" quotePrefix="0" xfId="0">
      <alignment horizontal="left" vertical="center" wrapText="1"/>
    </xf>
    <xf numFmtId="0" fontId="16" fillId="23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right" vertical="center" wrapText="1"/>
    </xf>
    <xf numFmtId="0" fontId="16" fillId="4" borderId="2" applyAlignment="1" pivotButton="0" quotePrefix="0" xfId="0">
      <alignment horizontal="center" vertical="center" wrapText="1"/>
    </xf>
    <xf numFmtId="0" fontId="16" fillId="9" borderId="2" applyAlignment="1" pivotButton="0" quotePrefix="0" xfId="0">
      <alignment horizontal="center" vertical="center" wrapText="1"/>
    </xf>
    <xf numFmtId="0" fontId="16" fillId="13" borderId="2" applyAlignment="1" pivotButton="0" quotePrefix="0" xfId="0">
      <alignment horizontal="center" vertical="center" wrapText="1"/>
    </xf>
    <xf numFmtId="0" fontId="16" fillId="6" borderId="2" applyAlignment="1" pivotButton="0" quotePrefix="0" xfId="0">
      <alignment horizontal="center" vertical="center" wrapText="1"/>
    </xf>
    <xf numFmtId="0" fontId="16" fillId="15" borderId="2" applyAlignment="1" pivotButton="0" quotePrefix="0" xfId="0">
      <alignment horizontal="center" vertical="center" wrapText="1"/>
    </xf>
    <xf numFmtId="0" fontId="16" fillId="16" borderId="2" applyAlignment="1" pivotButton="0" quotePrefix="0" xfId="0">
      <alignment horizontal="center" vertical="center" wrapText="1"/>
    </xf>
    <xf numFmtId="0" fontId="16" fillId="18" borderId="2" applyAlignment="1" pivotButton="0" quotePrefix="0" xfId="0">
      <alignment horizontal="center" vertical="center" wrapText="1"/>
    </xf>
    <xf numFmtId="0" fontId="16" fillId="19" borderId="2" applyAlignment="1" pivotButton="0" quotePrefix="0" xfId="0">
      <alignment horizontal="center" vertical="center" wrapText="1"/>
    </xf>
    <xf numFmtId="0" fontId="16" fillId="20" borderId="2" applyAlignment="1" pivotButton="0" quotePrefix="0" xfId="0">
      <alignment horizontal="center" vertical="center" wrapText="1"/>
    </xf>
    <xf numFmtId="0" fontId="24" fillId="2" borderId="3" applyAlignment="1" pivotButton="0" quotePrefix="0" xfId="0">
      <alignment horizontal="left" vertical="center"/>
    </xf>
    <xf numFmtId="0" fontId="25" fillId="7" borderId="2" applyAlignment="1" pivotButton="0" quotePrefix="0" xfId="0">
      <alignment horizontal="left" vertical="center" wrapText="1"/>
    </xf>
    <xf numFmtId="0" fontId="26" fillId="8" borderId="2" applyAlignment="1" pivotButton="0" quotePrefix="0" xfId="0">
      <alignment horizontal="left" vertical="center" wrapText="1"/>
    </xf>
    <xf numFmtId="0" fontId="27" fillId="5" borderId="2" applyAlignment="1" pivotButton="0" quotePrefix="0" xfId="0">
      <alignment horizontal="left" vertical="center" wrapText="1"/>
    </xf>
    <xf numFmtId="0" fontId="24" fillId="14" borderId="3" applyAlignment="1" pivotButton="0" quotePrefix="0" xfId="0">
      <alignment horizontal="left" vertical="center"/>
    </xf>
    <xf numFmtId="0" fontId="28" fillId="5" borderId="2" applyAlignment="1" pivotButton="0" quotePrefix="0" xfId="0">
      <alignment horizontal="left" vertical="center" wrapText="1"/>
    </xf>
    <xf numFmtId="0" fontId="24" fillId="3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left" vertical="center" wrapText="1"/>
    </xf>
    <xf numFmtId="0" fontId="8" fillId="9" borderId="2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center" vertical="center" wrapText="1"/>
    </xf>
    <xf numFmtId="0" fontId="10" fillId="24" borderId="3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24" borderId="0" pivotButton="0" quotePrefix="0" xfId="0"/>
    <xf numFmtId="0" fontId="6" fillId="10" borderId="1" applyAlignment="1" pivotButton="0" quotePrefix="0" xfId="0">
      <alignment horizontal="center" vertical="center" wrapText="1"/>
    </xf>
    <xf numFmtId="0" fontId="11" fillId="8" borderId="2" applyAlignment="1" pivotButton="0" quotePrefix="0" xfId="0">
      <alignment horizontal="center" vertical="center" wrapText="1"/>
    </xf>
    <xf numFmtId="0" fontId="12" fillId="5" borderId="2" applyAlignment="1" pivotButton="0" quotePrefix="0" xfId="0">
      <alignment horizontal="left" vertical="center" wrapText="1"/>
    </xf>
    <xf numFmtId="0" fontId="13" fillId="3" borderId="2" applyAlignment="1" pivotButton="0" quotePrefix="0" xfId="0">
      <alignment horizontal="center" vertical="center"/>
    </xf>
    <xf numFmtId="0" fontId="12" fillId="7" borderId="2" applyAlignment="1" pivotButton="0" quotePrefix="0" xfId="0">
      <alignment horizontal="left" vertical="center" wrapText="1"/>
    </xf>
    <xf numFmtId="0" fontId="13" fillId="11" borderId="2" applyAlignment="1" pivotButton="0" quotePrefix="0" xfId="0">
      <alignment horizontal="center" vertical="center"/>
    </xf>
    <xf numFmtId="0" fontId="13" fillId="12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center" vertical="center" wrapText="1"/>
    </xf>
    <xf numFmtId="0" fontId="7" fillId="13" borderId="2" applyAlignment="1" pivotButton="0" quotePrefix="0" xfId="0">
      <alignment horizontal="left" vertical="center" wrapText="1"/>
    </xf>
    <xf numFmtId="0" fontId="11" fillId="13" borderId="2" applyAlignment="1" pivotButton="0" quotePrefix="0" xfId="0">
      <alignment horizontal="center" vertical="center" wrapText="1"/>
    </xf>
    <xf numFmtId="0" fontId="13" fillId="14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 wrapText="1"/>
    </xf>
    <xf numFmtId="0" fontId="7" fillId="15" borderId="2" applyAlignment="1" pivotButton="0" quotePrefix="0" xfId="0">
      <alignment horizontal="left" vertical="center" wrapText="1"/>
    </xf>
    <xf numFmtId="0" fontId="11" fillId="15" borderId="2" applyAlignment="1" pivotButton="0" quotePrefix="0" xfId="0">
      <alignment horizontal="center" vertical="center" wrapText="1"/>
    </xf>
    <xf numFmtId="0" fontId="7" fillId="16" borderId="2" applyAlignment="1" pivotButton="0" quotePrefix="0" xfId="0">
      <alignment horizontal="left" vertical="center" wrapText="1"/>
    </xf>
    <xf numFmtId="0" fontId="11" fillId="16" borderId="2" applyAlignment="1" pivotButton="0" quotePrefix="0" xfId="0">
      <alignment horizontal="center" vertical="center" wrapText="1"/>
    </xf>
    <xf numFmtId="0" fontId="13" fillId="17" borderId="2" applyAlignment="1" pivotButton="0" quotePrefix="0" xfId="0">
      <alignment horizontal="center" vertical="center"/>
    </xf>
    <xf numFmtId="0" fontId="7" fillId="18" borderId="2" applyAlignment="1" pivotButton="0" quotePrefix="0" xfId="0">
      <alignment horizontal="left" vertical="center" wrapText="1"/>
    </xf>
    <xf numFmtId="0" fontId="11" fillId="18" borderId="2" applyAlignment="1" pivotButton="0" quotePrefix="0" xfId="0">
      <alignment horizontal="center" vertical="center" wrapText="1"/>
    </xf>
    <xf numFmtId="0" fontId="7" fillId="19" borderId="2" applyAlignment="1" pivotButton="0" quotePrefix="0" xfId="0">
      <alignment horizontal="left" vertical="center" wrapText="1"/>
    </xf>
    <xf numFmtId="0" fontId="11" fillId="19" borderId="2" applyAlignment="1" pivotButton="0" quotePrefix="0" xfId="0">
      <alignment horizontal="center" vertical="center" wrapText="1"/>
    </xf>
    <xf numFmtId="0" fontId="7" fillId="20" borderId="2" applyAlignment="1" pivotButton="0" quotePrefix="0" xfId="0">
      <alignment horizontal="left" vertical="center" wrapText="1"/>
    </xf>
    <xf numFmtId="0" fontId="11" fillId="20" borderId="2" applyAlignment="1" pivotButton="0" quotePrefix="0" xfId="0">
      <alignment horizontal="center" vertical="center" wrapText="1"/>
    </xf>
    <xf numFmtId="0" fontId="14" fillId="8" borderId="3" applyAlignment="1" pivotButton="0" quotePrefix="0" xfId="0">
      <alignment horizontal="left" vertical="center" wrapText="1"/>
    </xf>
    <xf numFmtId="0" fontId="6" fillId="21" borderId="1" applyAlignment="1" pivotButton="0" quotePrefix="0" xfId="0">
      <alignment horizontal="center" vertical="center" wrapText="1"/>
    </xf>
    <xf numFmtId="0" fontId="31" fillId="25" borderId="2" applyAlignment="1" pivotButton="0" quotePrefix="0" xfId="0">
      <alignment horizontal="center" vertical="center" wrapText="1"/>
    </xf>
    <xf numFmtId="0" fontId="16" fillId="8" borderId="2" applyAlignment="1" pivotButton="0" quotePrefix="0" xfId="0">
      <alignment horizontal="center" vertical="center" wrapText="1"/>
    </xf>
    <xf numFmtId="0" fontId="16" fillId="7" borderId="2" applyAlignment="1" pivotButton="0" quotePrefix="0" xfId="0">
      <alignment horizontal="left" vertical="center" wrapText="1"/>
    </xf>
    <xf numFmtId="0" fontId="17" fillId="15" borderId="2" applyAlignment="1" pivotButton="0" quotePrefix="0" xfId="0">
      <alignment horizontal="center" vertical="center" wrapText="1"/>
    </xf>
    <xf numFmtId="2" fontId="29" fillId="24" borderId="6" applyAlignment="1" pivotButton="0" quotePrefix="0" xfId="0">
      <alignment horizontal="center" vertical="center"/>
    </xf>
    <xf numFmtId="0" fontId="30" fillId="24" borderId="6" applyAlignment="1" pivotButton="0" quotePrefix="0" xfId="0">
      <alignment horizontal="left" vertical="center" wrapText="1"/>
    </xf>
    <xf numFmtId="0" fontId="20" fillId="5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right" vertical="center" wrapText="1"/>
    </xf>
    <xf numFmtId="2" fontId="29" fillId="26" borderId="6" applyAlignment="1" pivotButton="0" quotePrefix="0" xfId="0">
      <alignment horizontal="center" vertical="center"/>
    </xf>
    <xf numFmtId="0" fontId="30" fillId="26" borderId="6" applyAlignment="1" pivotButton="0" quotePrefix="0" xfId="0">
      <alignment horizontal="left" vertical="center" wrapText="1"/>
    </xf>
    <xf numFmtId="0" fontId="20" fillId="7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right" vertical="center" wrapText="1"/>
    </xf>
    <xf numFmtId="0" fontId="32" fillId="27" borderId="2" applyAlignment="1" pivotButton="0" quotePrefix="0" xfId="0">
      <alignment horizontal="center" vertical="center" wrapText="1"/>
    </xf>
    <xf numFmtId="0" fontId="33" fillId="28" borderId="6" applyAlignment="1" pivotButton="0" quotePrefix="0" xfId="0">
      <alignment horizontal="center" vertical="center"/>
    </xf>
    <xf numFmtId="0" fontId="34" fillId="29" borderId="2" applyAlignment="1" pivotButton="0" quotePrefix="0" xfId="0">
      <alignment horizontal="center" vertical="center" wrapText="1"/>
    </xf>
    <xf numFmtId="0" fontId="7" fillId="23" borderId="2" applyAlignment="1" pivotButton="0" quotePrefix="0" xfId="0">
      <alignment horizontal="left" vertical="center" wrapText="1"/>
    </xf>
    <xf numFmtId="0" fontId="16" fillId="23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right" vertical="center" wrapText="1"/>
    </xf>
    <xf numFmtId="0" fontId="16" fillId="4" borderId="2" applyAlignment="1" pivotButton="0" quotePrefix="0" xfId="0">
      <alignment horizontal="center" vertical="center" wrapText="1"/>
    </xf>
    <xf numFmtId="0" fontId="16" fillId="9" borderId="2" applyAlignment="1" pivotButton="0" quotePrefix="0" xfId="0">
      <alignment horizontal="center" vertical="center" wrapText="1"/>
    </xf>
    <xf numFmtId="0" fontId="16" fillId="13" borderId="2" applyAlignment="1" pivotButton="0" quotePrefix="0" xfId="0">
      <alignment horizontal="center" vertical="center" wrapText="1"/>
    </xf>
    <xf numFmtId="0" fontId="16" fillId="6" borderId="2" applyAlignment="1" pivotButton="0" quotePrefix="0" xfId="0">
      <alignment horizontal="center" vertical="center" wrapText="1"/>
    </xf>
    <xf numFmtId="0" fontId="16" fillId="15" borderId="2" applyAlignment="1" pivotButton="0" quotePrefix="0" xfId="0">
      <alignment horizontal="center" vertical="center" wrapText="1"/>
    </xf>
    <xf numFmtId="0" fontId="16" fillId="16" borderId="2" applyAlignment="1" pivotButton="0" quotePrefix="0" xfId="0">
      <alignment horizontal="center" vertical="center" wrapText="1"/>
    </xf>
    <xf numFmtId="0" fontId="16" fillId="18" borderId="2" applyAlignment="1" pivotButton="0" quotePrefix="0" xfId="0">
      <alignment horizontal="center" vertical="center" wrapText="1"/>
    </xf>
    <xf numFmtId="0" fontId="16" fillId="19" borderId="2" applyAlignment="1" pivotButton="0" quotePrefix="0" xfId="0">
      <alignment horizontal="center" vertical="center" wrapText="1"/>
    </xf>
    <xf numFmtId="0" fontId="16" fillId="20" borderId="2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left" vertical="center" wrapText="1"/>
    </xf>
    <xf numFmtId="0" fontId="24" fillId="2" borderId="3" applyAlignment="1" pivotButton="0" quotePrefix="0" xfId="0">
      <alignment horizontal="left" vertical="center"/>
    </xf>
    <xf numFmtId="0" fontId="25" fillId="7" borderId="2" applyAlignment="1" pivotButton="0" quotePrefix="0" xfId="0">
      <alignment horizontal="left" vertical="center" wrapText="1"/>
    </xf>
    <xf numFmtId="0" fontId="26" fillId="8" borderId="2" applyAlignment="1" pivotButton="0" quotePrefix="0" xfId="0">
      <alignment horizontal="left" vertical="center" wrapText="1"/>
    </xf>
    <xf numFmtId="0" fontId="27" fillId="5" borderId="2" applyAlignment="1" pivotButton="0" quotePrefix="0" xfId="0">
      <alignment horizontal="left" vertical="center" wrapText="1"/>
    </xf>
    <xf numFmtId="0" fontId="24" fillId="14" borderId="3" applyAlignment="1" pivotButton="0" quotePrefix="0" xfId="0">
      <alignment horizontal="left" vertical="center"/>
    </xf>
    <xf numFmtId="0" fontId="28" fillId="5" borderId="2" applyAlignment="1" pivotButton="0" quotePrefix="0" xfId="0">
      <alignment horizontal="left" vertical="center" wrapText="1"/>
    </xf>
    <xf numFmtId="0" fontId="24" fillId="3" borderId="3" applyAlignment="1" pivotButton="0" quotePrefix="0" xfId="0">
      <alignment horizontal="left" vertical="center"/>
    </xf>
    <xf numFmtId="0" fontId="35" fillId="27" borderId="6" applyAlignment="1" pivotButton="0" quotePrefix="0" xfId="0">
      <alignment horizontal="left" vertical="center"/>
    </xf>
    <xf numFmtId="0" fontId="35" fillId="27" borderId="6" applyAlignment="1" pivotButton="0" quotePrefix="0" xfId="0">
      <alignment horizontal="center" vertical="center"/>
    </xf>
    <xf numFmtId="0" fontId="36" fillId="30" borderId="6" applyAlignment="1" pivotButton="0" quotePrefix="0" xfId="0">
      <alignment horizontal="center" vertical="center"/>
    </xf>
    <xf numFmtId="0" fontId="37" fillId="24" borderId="6" applyAlignment="1" pivotButton="0" quotePrefix="0" xfId="0">
      <alignment horizontal="left" vertical="center"/>
    </xf>
    <xf numFmtId="1" fontId="29" fillId="24" borderId="6" applyAlignment="1" pivotButton="0" quotePrefix="0" xfId="0">
      <alignment horizontal="center" vertical="center"/>
    </xf>
    <xf numFmtId="164" fontId="29" fillId="24" borderId="6" applyAlignment="1" pivotButton="0" quotePrefix="0" xfId="0">
      <alignment horizontal="center" vertical="center"/>
    </xf>
    <xf numFmtId="164" fontId="31" fillId="25" borderId="6" applyAlignment="1" pivotButton="0" quotePrefix="0" xfId="0">
      <alignment horizontal="center" vertical="center"/>
    </xf>
    <xf numFmtId="0" fontId="38" fillId="24" borderId="6" applyAlignment="1" pivotButton="0" quotePrefix="0" xfId="0">
      <alignment horizontal="left" vertical="center"/>
    </xf>
    <xf numFmtId="0" fontId="39" fillId="27" borderId="6" applyAlignment="1" pivotButton="0" quotePrefix="0" xfId="0">
      <alignment horizontal="left" vertical="center"/>
    </xf>
    <xf numFmtId="1" fontId="29" fillId="27" borderId="6" applyAlignment="1" pivotButton="0" quotePrefix="0" xfId="0">
      <alignment horizontal="center" vertical="center"/>
    </xf>
    <xf numFmtId="164" fontId="29" fillId="27" borderId="6" applyAlignment="1" pivotButton="0" quotePrefix="0" xfId="0">
      <alignment horizontal="center" vertical="center"/>
    </xf>
    <xf numFmtId="0" fontId="38" fillId="27" borderId="6" applyAlignment="1" pivotButton="0" quotePrefix="0" xfId="0">
      <alignment horizontal="left" vertical="center"/>
    </xf>
    <xf numFmtId="0" fontId="39" fillId="24" borderId="6" applyAlignment="1" pivotButton="0" quotePrefix="0" xfId="0">
      <alignment horizontal="left" vertical="center"/>
    </xf>
    <xf numFmtId="0" fontId="36" fillId="31" borderId="6" applyAlignment="1" pivotButton="0" quotePrefix="0" xfId="0">
      <alignment horizontal="center" vertical="center"/>
    </xf>
    <xf numFmtId="0" fontId="40" fillId="24" borderId="6" applyAlignment="1" pivotButton="0" quotePrefix="0" xfId="0">
      <alignment horizontal="left" vertical="center"/>
    </xf>
    <xf numFmtId="0" fontId="40" fillId="27" borderId="6" applyAlignment="1" pivotButton="0" quotePrefix="0" xfId="0">
      <alignment horizontal="left" vertical="center"/>
    </xf>
    <xf numFmtId="0" fontId="41" fillId="24" borderId="6" applyAlignment="1" pivotButton="0" quotePrefix="0" xfId="0">
      <alignment horizontal="left" vertical="center"/>
    </xf>
    <xf numFmtId="0" fontId="41" fillId="27" borderId="6" applyAlignment="1" pivotButton="0" quotePrefix="0" xfId="0">
      <alignment horizontal="left" vertical="center"/>
    </xf>
    <xf numFmtId="0" fontId="42" fillId="24" borderId="6" applyAlignment="1" pivotButton="0" quotePrefix="0" xfId="0">
      <alignment horizontal="left" vertical="center"/>
    </xf>
    <xf numFmtId="0" fontId="42" fillId="27" borderId="6" applyAlignment="1" pivotButton="0" quotePrefix="0" xfId="0">
      <alignment horizontal="left" vertical="center"/>
    </xf>
    <xf numFmtId="0" fontId="43" fillId="24" borderId="6" applyAlignment="1" pivotButton="0" quotePrefix="0" xfId="0">
      <alignment horizontal="left" vertical="center"/>
    </xf>
    <xf numFmtId="0" fontId="43" fillId="27" borderId="6" applyAlignment="1" pivotButton="0" quotePrefix="0" xfId="0">
      <alignment horizontal="left" vertical="center"/>
    </xf>
    <xf numFmtId="0" fontId="44" fillId="27" borderId="6" applyAlignment="1" pivotButton="0" quotePrefix="0" xfId="0">
      <alignment horizontal="left" vertical="center"/>
    </xf>
    <xf numFmtId="0" fontId="44" fillId="24" borderId="6" applyAlignment="1" pivotButton="0" quotePrefix="0" xfId="0">
      <alignment horizontal="left" vertical="center"/>
    </xf>
    <xf numFmtId="0" fontId="45" fillId="27" borderId="6" applyAlignment="1" pivotButton="0" quotePrefix="0" xfId="0">
      <alignment horizontal="left" vertical="center"/>
    </xf>
    <xf numFmtId="0" fontId="45" fillId="24" borderId="6" applyAlignment="1" pivotButton="0" quotePrefix="0" xfId="0">
      <alignment horizontal="left" vertical="center"/>
    </xf>
    <xf numFmtId="0" fontId="46" fillId="24" borderId="6" applyAlignment="1" pivotButton="0" quotePrefix="0" xfId="0">
      <alignment horizontal="left" vertical="center"/>
    </xf>
    <xf numFmtId="0" fontId="36" fillId="32" borderId="6" applyAlignment="1" pivotButton="0" quotePrefix="0" xfId="0">
      <alignment horizontal="center" vertical="center"/>
    </xf>
    <xf numFmtId="0" fontId="46" fillId="27" borderId="6" applyAlignment="1" pivotButton="0" quotePrefix="0" xfId="0">
      <alignment horizontal="left" vertical="center"/>
    </xf>
    <xf numFmtId="0" fontId="47" fillId="24" borderId="6" applyAlignment="1" pivotButton="0" quotePrefix="0" xfId="0">
      <alignment horizontal="left" vertical="center"/>
    </xf>
    <xf numFmtId="0" fontId="47" fillId="27" borderId="6" applyAlignment="1" pivotButton="0" quotePrefix="0" xfId="0">
      <alignment horizontal="left" vertical="center"/>
    </xf>
    <xf numFmtId="0" fontId="48" fillId="24" borderId="6" applyAlignment="1" pivotButton="0" quotePrefix="0" xfId="0">
      <alignment horizontal="left" vertical="center"/>
    </xf>
    <xf numFmtId="0" fontId="48" fillId="27" borderId="6" applyAlignment="1" pivotButton="0" quotePrefix="0" xfId="0">
      <alignment horizontal="left" vertical="center"/>
    </xf>
    <xf numFmtId="0" fontId="49" fillId="24" borderId="6" applyAlignment="1" pivotButton="0" quotePrefix="0" xfId="0">
      <alignment horizontal="left" vertical="center"/>
    </xf>
    <xf numFmtId="0" fontId="49" fillId="27" borderId="6" applyAlignment="1" pivotButton="0" quotePrefix="0" xfId="0">
      <alignment horizontal="left" vertical="center"/>
    </xf>
    <xf numFmtId="0" fontId="50" fillId="25" borderId="6" applyAlignment="1" pivotButton="0" quotePrefix="0" xfId="0">
      <alignment horizontal="left" vertical="center"/>
    </xf>
    <xf numFmtId="0" fontId="50" fillId="25" borderId="6" applyAlignment="1" pivotButton="0" quotePrefix="0" xfId="0">
      <alignment horizontal="center" vertical="center"/>
    </xf>
    <xf numFmtId="0" fontId="29" fillId="25" borderId="6" applyAlignment="1" pivotButton="0" quotePrefix="0" xfId="0">
      <alignment horizontal="left" vertical="center"/>
    </xf>
    <xf numFmtId="1" fontId="29" fillId="25" borderId="6" applyAlignment="1" pivotButton="0" quotePrefix="0" xfId="0">
      <alignment horizontal="center" vertical="center"/>
    </xf>
    <xf numFmtId="164" fontId="29" fillId="25" borderId="6" applyAlignment="1" pivotButton="0" quotePrefix="0" xfId="0">
      <alignment horizontal="center" vertical="center"/>
    </xf>
    <xf numFmtId="0" fontId="29" fillId="24" borderId="6" applyAlignment="1" pivotButton="0" quotePrefix="0" xfId="0">
      <alignment horizontal="left" vertical="center"/>
    </xf>
    <xf numFmtId="0" fontId="50" fillId="33" borderId="6" applyAlignment="1" pivotButton="0" quotePrefix="0" xfId="0">
      <alignment horizontal="left" vertical="center"/>
    </xf>
    <xf numFmtId="0" fontId="50" fillId="33" borderId="6" applyAlignment="1" pivotButton="0" quotePrefix="0" xfId="0">
      <alignment horizontal="center" vertical="center"/>
    </xf>
    <xf numFmtId="0" fontId="29" fillId="33" borderId="6" applyAlignment="1" pivotButton="0" quotePrefix="0" xfId="0">
      <alignment horizontal="left" vertical="center"/>
    </xf>
    <xf numFmtId="1" fontId="29" fillId="33" borderId="6" applyAlignment="1" pivotButton="0" quotePrefix="0" xfId="0">
      <alignment horizontal="center" vertical="center"/>
    </xf>
    <xf numFmtId="164" fontId="29" fillId="33" borderId="6" applyAlignment="1" pivotButton="0" quotePrefix="0" xfId="0">
      <alignment horizontal="center" vertical="center"/>
    </xf>
    <xf numFmtId="0" fontId="50" fillId="34" borderId="6" applyAlignment="1" pivotButton="0" quotePrefix="0" xfId="0">
      <alignment horizontal="left" vertical="center"/>
    </xf>
    <xf numFmtId="0" fontId="50" fillId="34" borderId="6" applyAlignment="1" pivotButton="0" quotePrefix="0" xfId="0">
      <alignment horizontal="center" vertical="center"/>
    </xf>
    <xf numFmtId="0" fontId="29" fillId="34" borderId="6" applyAlignment="1" pivotButton="0" quotePrefix="0" xfId="0">
      <alignment horizontal="left" vertical="center"/>
    </xf>
    <xf numFmtId="1" fontId="29" fillId="34" borderId="6" applyAlignment="1" pivotButton="0" quotePrefix="0" xfId="0">
      <alignment horizontal="center" vertical="center"/>
    </xf>
    <xf numFmtId="164" fontId="29" fillId="34" borderId="6" applyAlignment="1" pivotButton="0" quotePrefix="0" xfId="0">
      <alignment horizontal="center" vertical="center"/>
    </xf>
    <xf numFmtId="0" fontId="36" fillId="35" borderId="6" applyAlignment="1" pivotButton="0" quotePrefix="0" xfId="0">
      <alignment horizontal="center" vertical="center"/>
    </xf>
    <xf numFmtId="0" fontId="50" fillId="29" borderId="6" applyAlignment="1" pivotButton="0" quotePrefix="0" xfId="0">
      <alignment horizontal="left" vertical="center"/>
    </xf>
    <xf numFmtId="0" fontId="50" fillId="29" borderId="6" applyAlignment="1" pivotButton="0" quotePrefix="0" xfId="0">
      <alignment horizontal="center" vertical="center"/>
    </xf>
    <xf numFmtId="0" fontId="29" fillId="29" borderId="6" applyAlignment="1" pivotButton="0" quotePrefix="0" xfId="0">
      <alignment horizontal="left" vertical="center"/>
    </xf>
    <xf numFmtId="1" fontId="29" fillId="29" borderId="6" applyAlignment="1" pivotButton="0" quotePrefix="0" xfId="0">
      <alignment horizontal="center" vertical="center"/>
    </xf>
    <xf numFmtId="164" fontId="29" fillId="29" borderId="6" applyAlignment="1" pivotButton="0" quotePrefix="0" xfId="0">
      <alignment horizontal="center" vertical="center"/>
    </xf>
    <xf numFmtId="0" fontId="50" fillId="36" borderId="6" applyAlignment="1" pivotButton="0" quotePrefix="0" xfId="0">
      <alignment horizontal="left" vertical="center"/>
    </xf>
    <xf numFmtId="0" fontId="50" fillId="36" borderId="6" applyAlignment="1" pivotButton="0" quotePrefix="0" xfId="0">
      <alignment horizontal="center" vertical="center"/>
    </xf>
    <xf numFmtId="0" fontId="29" fillId="36" borderId="6" applyAlignment="1" pivotButton="0" quotePrefix="0" xfId="0">
      <alignment horizontal="left" vertical="center"/>
    </xf>
    <xf numFmtId="1" fontId="29" fillId="36" borderId="6" applyAlignment="1" pivotButton="0" quotePrefix="0" xfId="0">
      <alignment horizontal="center" vertical="center"/>
    </xf>
    <xf numFmtId="164" fontId="29" fillId="36" borderId="6" applyAlignment="1" pivotButton="0" quotePrefix="0" xfId="0">
      <alignment horizontal="center" vertical="center"/>
    </xf>
    <xf numFmtId="0" fontId="50" fillId="37" borderId="6" applyAlignment="1" pivotButton="0" quotePrefix="0" xfId="0">
      <alignment horizontal="left" vertical="center"/>
    </xf>
    <xf numFmtId="0" fontId="50" fillId="37" borderId="6" applyAlignment="1" pivotButton="0" quotePrefix="0" xfId="0">
      <alignment horizontal="center" vertical="center"/>
    </xf>
    <xf numFmtId="0" fontId="29" fillId="37" borderId="6" applyAlignment="1" pivotButton="0" quotePrefix="0" xfId="0">
      <alignment horizontal="left" vertical="center"/>
    </xf>
    <xf numFmtId="1" fontId="29" fillId="37" borderId="6" applyAlignment="1" pivotButton="0" quotePrefix="0" xfId="0">
      <alignment horizontal="center" vertical="center"/>
    </xf>
    <xf numFmtId="164" fontId="29" fillId="37" borderId="6" applyAlignment="1" pivotButton="0" quotePrefix="0" xfId="0">
      <alignment horizontal="center" vertical="center"/>
    </xf>
    <xf numFmtId="0" fontId="36" fillId="38" borderId="6" applyAlignment="1" pivotButton="0" quotePrefix="0" xfId="0">
      <alignment horizontal="center" vertical="center"/>
    </xf>
    <xf numFmtId="0" fontId="50" fillId="39" borderId="6" applyAlignment="1" pivotButton="0" quotePrefix="0" xfId="0">
      <alignment horizontal="left" vertical="center"/>
    </xf>
    <xf numFmtId="0" fontId="50" fillId="39" borderId="6" applyAlignment="1" pivotButton="0" quotePrefix="0" xfId="0">
      <alignment horizontal="center" vertical="center"/>
    </xf>
    <xf numFmtId="0" fontId="29" fillId="39" borderId="6" applyAlignment="1" pivotButton="0" quotePrefix="0" xfId="0">
      <alignment horizontal="left" vertical="center"/>
    </xf>
    <xf numFmtId="1" fontId="29" fillId="39" borderId="6" applyAlignment="1" pivotButton="0" quotePrefix="0" xfId="0">
      <alignment horizontal="center" vertical="center"/>
    </xf>
    <xf numFmtId="164" fontId="29" fillId="39" borderId="6" applyAlignment="1" pivotButton="0" quotePrefix="0" xfId="0">
      <alignment horizontal="center" vertical="center"/>
    </xf>
    <xf numFmtId="0" fontId="50" fillId="40" borderId="6" applyAlignment="1" pivotButton="0" quotePrefix="0" xfId="0">
      <alignment horizontal="left" vertical="center"/>
    </xf>
    <xf numFmtId="0" fontId="50" fillId="40" borderId="6" applyAlignment="1" pivotButton="0" quotePrefix="0" xfId="0">
      <alignment horizontal="center" vertical="center"/>
    </xf>
    <xf numFmtId="0" fontId="29" fillId="40" borderId="6" applyAlignment="1" pivotButton="0" quotePrefix="0" xfId="0">
      <alignment horizontal="left" vertical="center"/>
    </xf>
    <xf numFmtId="1" fontId="29" fillId="40" borderId="6" applyAlignment="1" pivotButton="0" quotePrefix="0" xfId="0">
      <alignment horizontal="center" vertical="center"/>
    </xf>
    <xf numFmtId="164" fontId="29" fillId="40" borderId="6" applyAlignment="1" pivotButton="0" quotePrefix="0" xfId="0">
      <alignment horizontal="center" vertical="center"/>
    </xf>
    <xf numFmtId="0" fontId="50" fillId="41" borderId="6" applyAlignment="1" pivotButton="0" quotePrefix="0" xfId="0">
      <alignment horizontal="left" vertical="center"/>
    </xf>
    <xf numFmtId="0" fontId="50" fillId="41" borderId="6" applyAlignment="1" pivotButton="0" quotePrefix="0" xfId="0">
      <alignment horizontal="center" vertical="center"/>
    </xf>
    <xf numFmtId="0" fontId="29" fillId="41" borderId="6" applyAlignment="1" pivotButton="0" quotePrefix="0" xfId="0">
      <alignment horizontal="left" vertical="center"/>
    </xf>
    <xf numFmtId="1" fontId="29" fillId="41" borderId="6" applyAlignment="1" pivotButton="0" quotePrefix="0" xfId="0">
      <alignment horizontal="center" vertical="center"/>
    </xf>
    <xf numFmtId="164" fontId="29" fillId="41" borderId="6" applyAlignment="1" pivotButton="0" quotePrefix="0" xfId="0">
      <alignment horizontal="center" vertical="center"/>
    </xf>
    <xf numFmtId="0" fontId="50" fillId="42" borderId="6" applyAlignment="1" pivotButton="0" quotePrefix="0" xfId="0">
      <alignment horizontal="left" vertical="center"/>
    </xf>
    <xf numFmtId="0" fontId="50" fillId="42" borderId="6" applyAlignment="1" pivotButton="0" quotePrefix="0" xfId="0">
      <alignment horizontal="center" vertical="center"/>
    </xf>
    <xf numFmtId="0" fontId="29" fillId="42" borderId="6" applyAlignment="1" pivotButton="0" quotePrefix="0" xfId="0">
      <alignment horizontal="left" vertical="center"/>
    </xf>
    <xf numFmtId="1" fontId="29" fillId="42" borderId="6" applyAlignment="1" pivotButton="0" quotePrefix="0" xfId="0">
      <alignment horizontal="center" vertical="center"/>
    </xf>
    <xf numFmtId="164" fontId="29" fillId="42" borderId="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51" fillId="43" borderId="11" applyAlignment="1" pivotButton="0" quotePrefix="0" xfId="0">
      <alignment horizontal="center" vertical="center"/>
    </xf>
    <xf numFmtId="0" fontId="52" fillId="27" borderId="0" applyAlignment="1" pivotButton="0" quotePrefix="0" xfId="0">
      <alignment horizontal="center" vertical="center"/>
    </xf>
    <xf numFmtId="0" fontId="36" fillId="43" borderId="11" applyAlignment="1" pivotButton="0" quotePrefix="0" xfId="0">
      <alignment horizontal="center" vertical="center" wrapText="1"/>
    </xf>
    <xf numFmtId="0" fontId="31" fillId="25" borderId="6" applyAlignment="1" pivotButton="0" quotePrefix="0" xfId="0">
      <alignment horizontal="center" vertical="center"/>
    </xf>
    <xf numFmtId="0" fontId="53" fillId="25" borderId="6" applyAlignment="1" pivotButton="0" quotePrefix="0" xfId="0">
      <alignment horizontal="left" vertical="center"/>
    </xf>
    <xf numFmtId="0" fontId="54" fillId="25" borderId="6" applyAlignment="1" pivotButton="0" quotePrefix="0" xfId="0">
      <alignment horizontal="center" vertical="center"/>
    </xf>
    <xf numFmtId="0" fontId="38" fillId="26" borderId="6" applyAlignment="1" pivotButton="0" quotePrefix="0" xfId="0">
      <alignment horizontal="left" vertical="center"/>
    </xf>
    <xf numFmtId="164" fontId="55" fillId="24" borderId="6" applyAlignment="1" pivotButton="0" quotePrefix="0" xfId="0">
      <alignment horizontal="center" vertical="center"/>
    </xf>
    <xf numFmtId="164" fontId="56" fillId="24" borderId="6" applyAlignment="1" pivotButton="0" quotePrefix="0" xfId="0">
      <alignment horizontal="center" vertical="center"/>
    </xf>
    <xf numFmtId="1" fontId="38" fillId="24" borderId="6" applyAlignment="1" pivotButton="0" quotePrefix="0" xfId="0">
      <alignment horizontal="center" vertical="center"/>
    </xf>
    <xf numFmtId="1" fontId="54" fillId="25" borderId="6" applyAlignment="1" pivotButton="0" quotePrefix="0" xfId="0">
      <alignment horizontal="center" vertical="center"/>
    </xf>
    <xf numFmtId="1" fontId="57" fillId="37" borderId="6" applyAlignment="1" pivotButton="0" quotePrefix="0" xfId="0">
      <alignment horizontal="center" vertical="center"/>
    </xf>
    <xf numFmtId="0" fontId="58" fillId="24" borderId="6" applyAlignment="1" pivotButton="0" quotePrefix="0" xfId="0">
      <alignment horizontal="left" vertical="center" wrapText="1"/>
    </xf>
    <xf numFmtId="164" fontId="55" fillId="44" borderId="6" applyAlignment="1" pivotButton="0" quotePrefix="0" xfId="0">
      <alignment horizontal="center" vertical="center"/>
    </xf>
    <xf numFmtId="164" fontId="56" fillId="44" borderId="6" applyAlignment="1" pivotButton="0" quotePrefix="0" xfId="0">
      <alignment horizontal="center" vertical="center"/>
    </xf>
    <xf numFmtId="1" fontId="38" fillId="44" borderId="6" applyAlignment="1" pivotButton="0" quotePrefix="0" xfId="0">
      <alignment horizontal="center" vertical="center"/>
    </xf>
    <xf numFmtId="0" fontId="32" fillId="27" borderId="6" applyAlignment="1" pivotButton="0" quotePrefix="0" xfId="0">
      <alignment horizontal="center" vertical="center"/>
    </xf>
    <xf numFmtId="0" fontId="56" fillId="27" borderId="6" applyAlignment="1" pivotButton="0" quotePrefix="0" xfId="0">
      <alignment horizontal="left" vertical="center"/>
    </xf>
    <xf numFmtId="0" fontId="39" fillId="27" borderId="6" applyAlignment="1" pivotButton="0" quotePrefix="0" xfId="0">
      <alignment horizontal="center" vertical="center"/>
    </xf>
    <xf numFmtId="0" fontId="34" fillId="29" borderId="6" applyAlignment="1" pivotButton="0" quotePrefix="0" xfId="0">
      <alignment horizontal="center" vertical="center"/>
    </xf>
    <xf numFmtId="0" fontId="59" fillId="29" borderId="6" applyAlignment="1" pivotButton="0" quotePrefix="0" xfId="0">
      <alignment horizontal="left" vertical="center"/>
    </xf>
    <xf numFmtId="0" fontId="60" fillId="29" borderId="6" applyAlignment="1" pivotButton="0" quotePrefix="0" xfId="0">
      <alignment horizontal="center" vertical="center"/>
    </xf>
    <xf numFmtId="0" fontId="61" fillId="33" borderId="6" applyAlignment="1" pivotButton="0" quotePrefix="0" xfId="0">
      <alignment horizontal="center" vertical="center"/>
    </xf>
    <xf numFmtId="0" fontId="62" fillId="33" borderId="6" applyAlignment="1" pivotButton="0" quotePrefix="0" xfId="0">
      <alignment horizontal="left" vertical="center"/>
    </xf>
    <xf numFmtId="0" fontId="46" fillId="33" borderId="6" applyAlignment="1" pivotButton="0" quotePrefix="0" xfId="0">
      <alignment horizontal="center" vertical="center"/>
    </xf>
    <xf numFmtId="0" fontId="63" fillId="34" borderId="6" applyAlignment="1" pivotButton="0" quotePrefix="0" xfId="0">
      <alignment horizontal="center" vertical="center"/>
    </xf>
    <xf numFmtId="0" fontId="64" fillId="34" borderId="6" applyAlignment="1" pivotButton="0" quotePrefix="0" xfId="0">
      <alignment horizontal="left" vertical="center"/>
    </xf>
    <xf numFmtId="0" fontId="48" fillId="34" borderId="6" applyAlignment="1" pivotButton="0" quotePrefix="0" xfId="0">
      <alignment horizontal="center" vertical="center"/>
    </xf>
    <xf numFmtId="0" fontId="65" fillId="0" borderId="0" pivotButton="0" quotePrefix="0" xfId="0"/>
    <xf numFmtId="0" fontId="66" fillId="0" borderId="0" pivotButton="0" quotePrefix="0" xfId="0"/>
    <xf numFmtId="0" fontId="67" fillId="45" borderId="16" applyAlignment="1" pivotButton="0" quotePrefix="0" xfId="0">
      <alignment horizontal="center" vertical="center" wrapText="1"/>
    </xf>
    <xf numFmtId="0" fontId="68" fillId="46" borderId="16" applyAlignment="1" pivotButton="0" quotePrefix="0" xfId="0">
      <alignment horizontal="left" vertical="center" wrapText="1"/>
    </xf>
    <xf numFmtId="0" fontId="68" fillId="29" borderId="16" applyAlignment="1" pivotButton="0" quotePrefix="0" xfId="0">
      <alignment horizontal="left" vertical="center" wrapText="1"/>
    </xf>
    <xf numFmtId="0" fontId="68" fillId="47" borderId="16" applyAlignment="1" pivotButton="0" quotePrefix="0" xfId="0">
      <alignment horizontal="left" vertical="center" wrapText="1"/>
    </xf>
    <xf numFmtId="0" fontId="68" fillId="0" borderId="16" applyAlignment="1" pivotButton="0" quotePrefix="0" xfId="0">
      <alignment horizontal="left" vertical="center" wrapText="1"/>
    </xf>
    <xf numFmtId="0" fontId="69" fillId="0" borderId="0" pivotButton="0" quotePrefix="0" xfId="0"/>
    <xf numFmtId="0" fontId="0" fillId="46" borderId="0" pivotButton="0" quotePrefix="0" xfId="0"/>
    <xf numFmtId="0" fontId="0" fillId="29" borderId="0" pivotButton="0" quotePrefix="0" xfId="0"/>
    <xf numFmtId="0" fontId="0" fillId="47" borderId="0" pivotButton="0" quotePrefix="0" xfId="0"/>
    <xf numFmtId="0" fontId="0" fillId="0" borderId="14" pivotButton="0" quotePrefix="0" xfId="0"/>
    <xf numFmtId="0" fontId="0" fillId="0" borderId="15" pivotButton="0" quotePrefix="0" xfId="0"/>
    <xf numFmtId="0" fontId="8" fillId="47" borderId="2" applyAlignment="1" pivotButton="0" quotePrefix="0" xfId="0">
      <alignment horizontal="center" vertical="center" wrapText="1"/>
    </xf>
    <xf numFmtId="0" fontId="9" fillId="47" borderId="2" applyAlignment="1" pivotButton="0" quotePrefix="0" xfId="0">
      <alignment horizontal="center" vertical="center" wrapText="1"/>
    </xf>
    <xf numFmtId="0" fontId="8" fillId="47" borderId="2" applyAlignment="1" pivotButton="0" quotePrefix="0" xfId="0">
      <alignment horizontal="left" vertical="center" wrapText="1"/>
    </xf>
    <xf numFmtId="0" fontId="8" fillId="29" borderId="2" applyAlignment="1" pivotButton="0" quotePrefix="0" xfId="0">
      <alignment horizontal="center" vertical="center" wrapText="1"/>
    </xf>
    <xf numFmtId="0" fontId="29" fillId="47" borderId="6" applyAlignment="1" pivotButton="0" quotePrefix="0" xfId="0">
      <alignment horizontal="left" vertical="center"/>
    </xf>
    <xf numFmtId="0" fontId="36" fillId="47" borderId="6" applyAlignment="1" pivotButton="0" quotePrefix="0" xfId="0">
      <alignment horizontal="center" vertical="center"/>
    </xf>
    <xf numFmtId="0" fontId="70" fillId="0" borderId="0" pivotButton="0" quotePrefix="0" xfId="0"/>
    <xf numFmtId="0" fontId="0" fillId="0" borderId="0" applyAlignment="1" pivotButton="0" quotePrefix="0" xfId="0">
      <alignment vertical="top" wrapText="1"/>
    </xf>
    <xf numFmtId="0" fontId="71" fillId="0" borderId="0" pivotButton="0" quotePrefix="0" xfId="0"/>
    <xf numFmtId="0" fontId="67" fillId="45" borderId="0" applyAlignment="1" pivotButton="0" quotePrefix="0" xfId="0">
      <alignment horizontal="center" vertical="center" wrapText="1"/>
    </xf>
    <xf numFmtId="2" fontId="29" fillId="48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33" fillId="48" borderId="6" applyAlignment="1" pivotButton="0" quotePrefix="0" xfId="0">
      <alignment horizontal="center" vertical="center"/>
    </xf>
    <xf numFmtId="0" fontId="30" fillId="47" borderId="6" applyAlignment="1" pivotButton="0" quotePrefix="0" xfId="0">
      <alignment horizontal="left" vertical="center" wrapText="1"/>
    </xf>
    <xf numFmtId="0" fontId="20" fillId="47" borderId="2" applyAlignment="1" pivotButton="0" quotePrefix="0" xfId="0">
      <alignment horizontal="left" vertical="center" wrapText="1"/>
    </xf>
    <xf numFmtId="0" fontId="72" fillId="0" borderId="0" pivotButton="0" quotePrefix="0" xfId="0"/>
    <xf numFmtId="0" fontId="72" fillId="0" borderId="0" applyAlignment="1" pivotButton="0" quotePrefix="0" xfId="0">
      <alignment horizontal="general" vertical="bottom"/>
    </xf>
    <xf numFmtId="0" fontId="73" fillId="0" borderId="0" applyAlignment="1" pivotButton="0" quotePrefix="0" xfId="0">
      <alignment vertical="center" wrapText="1"/>
    </xf>
    <xf numFmtId="0" fontId="67" fillId="49" borderId="16" applyAlignment="1" pivotButton="0" quotePrefix="0" xfId="0">
      <alignment horizontal="center" vertical="center" wrapText="1"/>
    </xf>
    <xf numFmtId="0" fontId="68" fillId="0" borderId="16" pivotButton="0" quotePrefix="0" xfId="0"/>
    <xf numFmtId="0" fontId="68" fillId="0" borderId="16" applyAlignment="1" pivotButton="0" quotePrefix="0" xfId="0">
      <alignment horizontal="center" vertical="center"/>
    </xf>
    <xf numFmtId="0" fontId="68" fillId="48" borderId="16" applyAlignment="1" pivotButton="0" quotePrefix="0" xfId="0">
      <alignment horizontal="center" vertical="center"/>
    </xf>
    <xf numFmtId="0" fontId="74" fillId="0" borderId="0" pivotButton="0" quotePrefix="0" xfId="0"/>
    <xf numFmtId="0" fontId="0" fillId="29" borderId="0" applyAlignment="1" pivotButton="0" quotePrefix="0" xfId="0">
      <alignment vertical="top" wrapText="1"/>
    </xf>
    <xf numFmtId="0" fontId="75" fillId="0" borderId="0" pivotButton="0" quotePrefix="0" xfId="0"/>
    <xf numFmtId="0" fontId="0" fillId="47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E5596"/>
          <bgColor rgb="FF000000"/>
        </patternFill>
      </fill>
    </dxf>
    <dxf>
      <fill>
        <patternFill patternType="solid">
          <fgColor rgb="FF00695C"/>
          <bgColor rgb="FF000000"/>
        </patternFill>
      </fill>
    </dxf>
    <dxf>
      <fill>
        <patternFill patternType="solid">
          <fgColor rgb="FF595959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E8F5E9"/>
      <rgbColor rgb="FFFF00FF"/>
      <rgbColor rgb="FF00FFFF"/>
      <rgbColor rgb="FF800000"/>
      <rgbColor rgb="FF1A5C1A"/>
      <rgbColor rgb="FF000080"/>
      <rgbColor rgb="FF7F6000"/>
      <rgbColor rgb="FF800080"/>
      <rgbColor rgb="FF00695C"/>
      <rgbColor rgb="FFCCCCCC"/>
      <rgbColor rgb="FF808080"/>
      <rgbColor rgb="FFF2F2F2"/>
      <rgbColor rgb="FF993366"/>
      <rgbColor rgb="FFFFF2CC"/>
      <rgbColor rgb="FFE0F4F4"/>
      <rgbColor rgb="FF660066"/>
      <rgbColor rgb="FFFF8080"/>
      <rgbColor rgb="FF0066CC"/>
      <rgbColor rgb="FFDEEAF1"/>
      <rgbColor rgb="FF000080"/>
      <rgbColor rgb="FFFF00FF"/>
      <rgbColor rgb="FFF0F0F0"/>
      <rgbColor rgb="FF00FFFF"/>
      <rgbColor rgb="FF800080"/>
      <rgbColor rgb="FF800000"/>
      <rgbColor rgb="FF008080"/>
      <rgbColor rgb="FF0000FF"/>
      <rgbColor rgb="FF00CCFF"/>
      <rgbColor rgb="FFE3F2FD"/>
      <rgbColor rgb="FFD5EFD5"/>
      <rgbColor rgb="FFFFF3E0"/>
      <rgbColor rgb="FFE2EFDA"/>
      <rgbColor rgb="FFFFE0E0"/>
      <rgbColor rgb="FFF3E5F5"/>
      <rgbColor rgb="FFFCE4D6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548235"/>
      <rgbColor rgb="FF111111"/>
      <rgbColor rgb="FF333300"/>
      <rgbColor rgb="FF993300"/>
      <rgbColor rgb="FF993366"/>
      <rgbColor rgb="FF2E55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8" customWidth="1" style="81" min="1" max="1"/>
    <col width="22" customWidth="1" style="81" min="2" max="2"/>
    <col width="22" customWidth="1" style="81" min="3" max="3"/>
    <col width="32" customWidth="1" style="81" min="4" max="4"/>
    <col width="42" customWidth="1" style="81" min="5" max="5"/>
    <col width="55" customWidth="1" style="81" min="6" max="6"/>
    <col width="15" customWidth="1" style="81" min="7" max="7"/>
  </cols>
  <sheetData>
    <row r="1" ht="22" customHeight="1" s="81">
      <c r="A1" s="284" t="inlineStr">
        <is>
          <t>SIMTHERM BD v6 — CHANGELOG (17 août 2026)</t>
        </is>
      </c>
    </row>
    <row r="2">
      <c r="A2" s="285" t="inlineStr">
        <is>
          <t>Corrections issues du rapport de vérification bibliographique et climatique — 11 pays d'Afrique tropicale</t>
        </is>
      </c>
    </row>
    <row r="4">
      <c r="A4" s="286" t="inlineStr">
        <is>
          <t>Onglet</t>
        </is>
      </c>
      <c r="B4" s="286" t="inlineStr">
        <is>
          <t>Ligne(s)</t>
        </is>
      </c>
      <c r="C4" s="286" t="inlineStr">
        <is>
          <t>Champ</t>
        </is>
      </c>
      <c r="D4" s="286" t="inlineStr">
        <is>
          <t>Valeur v5</t>
        </is>
      </c>
      <c r="E4" s="286" t="inlineStr">
        <is>
          <t>Valeur v6</t>
        </is>
      </c>
      <c r="F4" s="286" t="inlineStr">
        <is>
          <t>Source de la correction</t>
        </is>
      </c>
      <c r="G4" s="286" t="inlineStr">
        <is>
          <t>Niveau de criticité</t>
        </is>
      </c>
    </row>
    <row r="5">
      <c r="A5" s="287" t="inlineStr">
        <is>
          <t>BD_PAYS</t>
        </is>
      </c>
      <c r="B5" s="287" t="inlineStr">
        <is>
          <t>L7 (Nigeria)</t>
        </is>
      </c>
      <c r="C5" s="287" t="inlineStr">
        <is>
          <t>Source / DOI Tn confort</t>
        </is>
      </c>
      <c r="D5" s="287" t="inlineStr">
        <is>
          <t>Adegun &amp; Adedeji 2017 DOI:10.3389/fbuil.2017.00070</t>
        </is>
      </c>
      <c r="E5" s="287" t="inlineStr">
        <is>
          <t>Munonye C. &amp; Ji Y. 2021, Building Services Eng. Res. &amp; Tech. 42(1):5-25, DOI:10.1177/0143624420911148</t>
        </is>
      </c>
      <c r="F5" s="287" t="inlineStr">
        <is>
          <t>DOI v5 pointait en réalité vers Ng CF 2017 « Living and Working in Tall Buildings » (hors sujet). Munonye &amp; Ji 2021 : Tn=28.8°C (open-plan) / 28.1°C (enclosed) écoles NV Imo State.</t>
        </is>
      </c>
      <c r="G5" s="287" t="inlineStr">
        <is>
          <t>CRITIQUE</t>
        </is>
      </c>
    </row>
    <row r="6">
      <c r="A6" s="287" t="inlineStr">
        <is>
          <t>BD_PAYS</t>
        </is>
      </c>
      <c r="B6" s="287" t="inlineStr">
        <is>
          <t>L7 (Nigeria)</t>
        </is>
      </c>
      <c r="C6" s="287" t="inlineStr">
        <is>
          <t>T° neutralité</t>
        </is>
      </c>
      <c r="D6" s="287" t="inlineStr">
        <is>
          <t>27.0</t>
        </is>
      </c>
      <c r="E6" s="287" t="inlineStr">
        <is>
          <t>28.8</t>
        </is>
      </c>
      <c r="F6" s="287" t="inlineStr">
        <is>
          <t>Munonye &amp; Ji 2021 verbatim : « neutral temperature of 28.8°C with comfort range 25.2–32.3°C »</t>
        </is>
      </c>
      <c r="G6" s="287" t="inlineStr">
        <is>
          <t>CRITIQUE</t>
        </is>
      </c>
    </row>
    <row r="7">
      <c r="A7" s="287" t="inlineStr">
        <is>
          <t>BD_PAYS</t>
        </is>
      </c>
      <c r="B7" s="287" t="inlineStr">
        <is>
          <t>L8 (Cameroun)</t>
        </is>
      </c>
      <c r="C7" s="287" t="inlineStr">
        <is>
          <t>Source / DOI Tn confort</t>
        </is>
      </c>
      <c r="D7" s="287" t="inlineStr">
        <is>
          <t>Nematchoua 2014 Appl. Energy — DOI:10.1016/j.apenergy.2013.10.036</t>
        </is>
      </c>
      <c r="E7" s="287" t="inlineStr">
        <is>
          <t>Nematchoua, Tchinda, Orosa 2014, Renew. Sustain. Energy Rev. 39:381-393, DOI:10.1016/j.rser.2014.07.010</t>
        </is>
      </c>
      <c r="F7" s="287" t="inlineStr">
        <is>
          <t>DOI Appl. Energy correct mais la valeur 26.5°C ne s'y trouve pas. Le paper compagnon RSER 2014 donne plage comfort 22-29°C, T° intérieure moy. 25.6°C (côte) / 24.3°C (équatorial).</t>
        </is>
      </c>
      <c r="G7" s="287" t="inlineStr">
        <is>
          <t>CRITIQUE</t>
        </is>
      </c>
    </row>
    <row r="8">
      <c r="A8" s="287" t="inlineStr">
        <is>
          <t>BD_PAYS</t>
        </is>
      </c>
      <c r="B8" s="287" t="inlineStr">
        <is>
          <t>L8 (Cameroun)</t>
        </is>
      </c>
      <c r="C8" s="287" t="inlineStr">
        <is>
          <t>T° neutralité</t>
        </is>
      </c>
      <c r="D8" s="287" t="inlineStr">
        <is>
          <t>26.5</t>
        </is>
      </c>
      <c r="E8" s="287" t="inlineStr">
        <is>
          <t>25.0</t>
        </is>
      </c>
      <c r="F8" s="287" t="inlineStr">
        <is>
          <t>Nematchoua et al. 2014 RSER — moyenne mesures côtières + équatoriales</t>
        </is>
      </c>
      <c r="G8" s="287" t="inlineStr">
        <is>
          <t>CRITIQUE</t>
        </is>
      </c>
    </row>
    <row r="9">
      <c r="A9" s="287" t="inlineStr">
        <is>
          <t>BD_PAYS</t>
        </is>
      </c>
      <c r="B9" s="287" t="inlineStr">
        <is>
          <t>L10 (Sénégal)</t>
        </is>
      </c>
      <c r="C9" s="287" t="inlineStr">
        <is>
          <t>Source / DOI Tn confort</t>
        </is>
      </c>
      <c r="D9" s="287" t="inlineStr">
        <is>
          <t>Bal H. et al. 2013 — DOI:10.1016/j.conbuildmat.2011.12.051</t>
        </is>
      </c>
      <c r="E9" s="287" t="inlineStr">
        <is>
          <t>Analogie Humphreys — Bal et al. 2013 reclassé dans BD_MATERIAUX (étude briques latérite)</t>
        </is>
      </c>
      <c r="F9" s="287" t="inlineStr">
        <is>
          <t>DOI v5 faux (DOI réel 10.1016/j.conbuildmat.2012.12.032 = étude MATÉRIAUX briques latérite/mil, pas confort). Aucune Tn expérimentale sénégalaise identifiée.</t>
        </is>
      </c>
      <c r="G9" s="287" t="inlineStr">
        <is>
          <t>CRITIQUE</t>
        </is>
      </c>
    </row>
    <row r="10">
      <c r="A10" s="288" t="inlineStr">
        <is>
          <t>BD_PAYS</t>
        </is>
      </c>
      <c r="B10" s="288" t="inlineStr">
        <is>
          <t>L10 (Sénégal)</t>
        </is>
      </c>
      <c r="C10" s="288" t="inlineStr">
        <is>
          <t>Fiabilité</t>
        </is>
      </c>
      <c r="D10" s="288" t="inlineStr">
        <is>
          <t>★★★</t>
        </is>
      </c>
      <c r="E10" s="288" t="inlineStr">
        <is>
          <t>★★★ (analogie Humphreys)</t>
        </is>
      </c>
      <c r="F10" s="288" t="inlineStr">
        <is>
          <t>Tn = 17.6 + 0.31 × Tmoy(24°C Dakar) ≈ 25.0°C — méthode Humphreys 1978</t>
        </is>
      </c>
      <c r="G10" s="288" t="inlineStr">
        <is>
          <t>IMPORTANT</t>
        </is>
      </c>
    </row>
    <row r="11">
      <c r="A11" s="287" t="inlineStr">
        <is>
          <t>BD_PAYS</t>
        </is>
      </c>
      <c r="B11" s="287" t="inlineStr">
        <is>
          <t>L12 (Mali)</t>
        </is>
      </c>
      <c r="C11" s="287" t="inlineStr">
        <is>
          <t>Source / DOI Tn confort</t>
        </is>
      </c>
      <c r="D11" s="287" t="inlineStr">
        <is>
          <t>Diallo A. 2025 WJARR — DOI:10.30574/wjarr.2025.25.1.3371</t>
        </is>
      </c>
      <c r="E11" s="287" t="inlineStr">
        <is>
          <t>Analogie Humphreys — Diallo 2025 reclassé dans BD_MATERIAUX (étude BTC)</t>
        </is>
      </c>
      <c r="F11" s="287" t="inlineStr">
        <is>
          <t>DOI v5 faux (DOI réel 10.30574/wjarr.2025.28.1.3371 = étude BTC argiles Dialakoro/Kita). Aucune Tn expérimentale malienne identifiée.</t>
        </is>
      </c>
      <c r="G11" s="287" t="inlineStr">
        <is>
          <t>CRITIQUE</t>
        </is>
      </c>
    </row>
    <row r="12">
      <c r="A12" s="288" t="inlineStr">
        <is>
          <t>BD_PAYS</t>
        </is>
      </c>
      <c r="B12" s="288" t="inlineStr">
        <is>
          <t>L7 (Nigeria)</t>
        </is>
      </c>
      <c r="C12" s="288" t="inlineStr">
        <is>
          <t>Taux NGN vs FCFA</t>
        </is>
      </c>
      <c r="D12" s="288" t="inlineStr">
        <is>
          <t>0.55</t>
        </is>
      </c>
      <c r="E12" s="288" t="inlineStr">
        <is>
          <t>0.41</t>
        </is>
      </c>
      <c r="F12" s="288" t="inlineStr">
        <is>
          <t>Xe / Wise mid-market — août 2026. Naira a subi dépréciation majeure 2023-2026.</t>
        </is>
      </c>
      <c r="G12" s="288" t="inlineStr">
        <is>
          <t>IMPORTANT</t>
        </is>
      </c>
    </row>
    <row r="13">
      <c r="A13" s="287" t="inlineStr">
        <is>
          <t>BD_PAYS</t>
        </is>
      </c>
      <c r="B13" s="287" t="inlineStr">
        <is>
          <t>L9 (Ghana)</t>
        </is>
      </c>
      <c r="C13" s="287" t="inlineStr">
        <is>
          <t>Taux GHS vs FCFA</t>
        </is>
      </c>
      <c r="D13" s="287" t="inlineStr">
        <is>
          <t>0.009</t>
        </is>
      </c>
      <c r="E13" s="287" t="inlineStr">
        <is>
          <t>48.8</t>
        </is>
      </c>
      <c r="F13" s="287" t="inlineStr">
        <is>
          <t>Xe (12 août 2026) / Wise. Valeur v5 aberrante — erreur d'unité manifeste.</t>
        </is>
      </c>
      <c r="G13" s="287" t="inlineStr">
        <is>
          <t>CRITIQUE</t>
        </is>
      </c>
    </row>
    <row r="14">
      <c r="A14" s="287" t="inlineStr">
        <is>
          <t>BD_PAYS</t>
        </is>
      </c>
      <c r="B14" s="287" t="inlineStr">
        <is>
          <t>L11 (Kenya)</t>
        </is>
      </c>
      <c r="C14" s="287" t="inlineStr">
        <is>
          <t>Taux KSH vs FCFA</t>
        </is>
      </c>
      <c r="D14" s="287" t="inlineStr">
        <is>
          <t>0.007</t>
        </is>
      </c>
      <c r="E14" s="287" t="inlineStr">
        <is>
          <t>4.39</t>
        </is>
      </c>
      <c r="F14" s="287" t="inlineStr">
        <is>
          <t>Xe / Wise / Pluang — août 2026. Valeur v5 aberrante — erreur d'unité manifeste.</t>
        </is>
      </c>
      <c r="G14" s="287" t="inlineStr">
        <is>
          <t>CRITIQUE</t>
        </is>
      </c>
    </row>
    <row r="15">
      <c r="A15" s="288" t="inlineStr">
        <is>
          <t>BD_CLIMAT</t>
        </is>
      </c>
      <c r="B15" s="288" t="inlineStr">
        <is>
          <t>L103 (Yaoundé, CM)</t>
        </is>
      </c>
      <c r="C15" s="288" t="inlineStr">
        <is>
          <t>Zone Köppen</t>
        </is>
      </c>
      <c r="D15" s="288" t="inlineStr">
        <is>
          <t>Af</t>
        </is>
      </c>
      <c r="E15" s="288" t="inlineStr">
        <is>
          <t>Aw</t>
        </is>
      </c>
      <c r="F15" s="288" t="inlineStr">
        <is>
          <t>Multi-sources climatestotravel + climate-data.org (normales 1991-2020) — saison sèche Déc-Fév marquée</t>
        </is>
      </c>
      <c r="G15" s="288" t="inlineStr">
        <is>
          <t>IMPORTANT</t>
        </is>
      </c>
    </row>
    <row r="16">
      <c r="A16" s="288" t="inlineStr">
        <is>
          <t>BD_CLIMAT</t>
        </is>
      </c>
      <c r="B16" s="288" t="inlineStr">
        <is>
          <t>L128 (Nairobi, KE)</t>
        </is>
      </c>
      <c r="C16" s="288" t="inlineStr">
        <is>
          <t>Zone Köppen</t>
        </is>
      </c>
      <c r="D16" s="288" t="inlineStr">
        <is>
          <t>Aw</t>
        </is>
      </c>
      <c r="E16" s="288" t="inlineStr">
        <is>
          <t>Cfb</t>
        </is>
      </c>
      <c r="F16" s="288" t="inlineStr">
        <is>
          <t>climate-data.org + profil UCT — altitude ~1650 m, Tmoy 18-19°C, amplitude annuelle faible : Aw incohérent, Cfb (océanique tempéré) confirmé</t>
        </is>
      </c>
      <c r="G16" s="288" t="inlineStr">
        <is>
          <t>IMPORTANT</t>
        </is>
      </c>
    </row>
    <row r="17">
      <c r="A17" s="288" t="inlineStr">
        <is>
          <t>BD_CLIMAT</t>
        </is>
      </c>
      <c r="B17" s="288" t="inlineStr">
        <is>
          <t>L90 (Lagos, NG)</t>
        </is>
      </c>
      <c r="C17" s="288" t="inlineStr">
        <is>
          <t>T° neutralité</t>
        </is>
      </c>
      <c r="D17" s="288" t="inlineStr">
        <is>
          <t>27.6</t>
        </is>
      </c>
      <c r="E17" s="288" t="inlineStr">
        <is>
          <t>29.1</t>
        </is>
      </c>
      <c r="F17" s="288" t="inlineStr">
        <is>
          <t>Adebamowo 2007 (Lagos) via Munonye &amp; Ji 2021 Table 10 : Tn=29.09°C</t>
        </is>
      </c>
      <c r="G17" s="288" t="inlineStr">
        <is>
          <t>IMPORTANT</t>
        </is>
      </c>
    </row>
    <row r="18">
      <c r="A18" s="288" t="inlineStr">
        <is>
          <t>BD_CLIMAT</t>
        </is>
      </c>
      <c r="B18" s="288" t="inlineStr">
        <is>
          <t>L91 (Abuja, NG)</t>
        </is>
      </c>
      <c r="C18" s="288" t="inlineStr">
        <is>
          <t>T° neutralité</t>
        </is>
      </c>
      <c r="D18" s="288" t="inlineStr">
        <is>
          <t>26.3</t>
        </is>
      </c>
      <c r="E18" s="288" t="inlineStr">
        <is>
          <t>28.9</t>
        </is>
      </c>
      <c r="F18" s="288" t="inlineStr">
        <is>
          <t>Adaji, Nikolopoulou, Watkins 2015 (Abuja résidentiel) via Munonye &amp; Ji 2021 : Tn 28.2-29.6°C — moyenne retenue 28.9°C</t>
        </is>
      </c>
      <c r="G18" s="288" t="inlineStr">
        <is>
          <t>IMPORTANT</t>
        </is>
      </c>
    </row>
    <row r="19">
      <c r="A19" s="288" t="inlineStr">
        <is>
          <t>BD_CLIMAT</t>
        </is>
      </c>
      <c r="B19" s="288" t="inlineStr">
        <is>
          <t>L100 (Jos, NG)</t>
        </is>
      </c>
      <c r="C19" s="288" t="inlineStr">
        <is>
          <t>T° neutralité</t>
        </is>
      </c>
      <c r="D19" s="288" t="inlineStr">
        <is>
          <t>24.4</t>
        </is>
      </c>
      <c r="E19" s="288" t="inlineStr">
        <is>
          <t>26.3</t>
        </is>
      </c>
      <c r="F19" s="288" t="inlineStr">
        <is>
          <t>Ogbonna &amp; Harris 2008 (Jos résidentiel) via Munonye &amp; Ji 2021 : Tn=26.27°C</t>
        </is>
      </c>
      <c r="G19" s="288" t="inlineStr">
        <is>
          <t>IMPORTANT</t>
        </is>
      </c>
    </row>
    <row r="20">
      <c r="A20" s="287" t="inlineStr">
        <is>
          <t>BD_MATERIAUX</t>
        </is>
      </c>
      <c r="B20" s="287" t="inlineStr">
        <is>
          <t>L36 (SN01 Sénégal)</t>
        </is>
      </c>
      <c r="C20" s="287" t="inlineStr">
        <is>
          <t>DOI</t>
        </is>
      </c>
      <c r="D20" s="287" t="inlineStr">
        <is>
          <t>10.1016/j.conbuildmat.2011.12.051</t>
        </is>
      </c>
      <c r="E20" s="287" t="inlineStr">
        <is>
          <t>10.1016/j.conbuildmat.2012.12.032</t>
        </is>
      </c>
      <c r="F20" s="287" t="inlineStr">
        <is>
          <t>DOI corrigé — Bal, Jannot, Gaye, Demeurie 2013, Constr. Build. Mater. 41:586-593</t>
        </is>
      </c>
      <c r="G20" s="287" t="inlineStr">
        <is>
          <t>CRITIQUE</t>
        </is>
      </c>
    </row>
    <row r="21">
      <c r="A21" s="287" t="inlineStr">
        <is>
          <t>BD_MATERIAUX</t>
        </is>
      </c>
      <c r="B21" s="287" t="inlineStr">
        <is>
          <t>L43-L44 (ML01/ML02 Mali)</t>
        </is>
      </c>
      <c r="C21" s="287" t="inlineStr">
        <is>
          <t>DOI</t>
        </is>
      </c>
      <c r="D21" s="287" t="inlineStr">
        <is>
          <t>10.30574/wjarr.2025.25.1.3371</t>
        </is>
      </c>
      <c r="E21" s="287" t="inlineStr">
        <is>
          <t>10.30574/wjarr.2025.28.1.3371</t>
        </is>
      </c>
      <c r="F21" s="287" t="inlineStr">
        <is>
          <t>DOI corrigé — Diallo et al. 2025, WJARR 28(01):336-350, étude BTC argiles Dialakoro/Kita</t>
        </is>
      </c>
      <c r="G21" s="287" t="inlineStr">
        <is>
          <t>CRITIQUE</t>
        </is>
      </c>
    </row>
    <row r="22">
      <c r="A22" s="289" t="inlineStr">
        <is>
          <t>BD_MATERIAUX</t>
        </is>
      </c>
      <c r="B22" s="289" t="inlineStr">
        <is>
          <t>Structure complète</t>
        </is>
      </c>
      <c r="C22" s="289" t="inlineStr">
        <is>
          <t>Refactorisation</t>
        </is>
      </c>
      <c r="D22" s="289" t="inlineStr">
        <is>
          <t>24 col. avec U15/U20/U25 et φ15/φ20/φ25 précalculés hardcodés</t>
        </is>
      </c>
      <c r="E22" s="289" t="inlineStr">
        <is>
          <t>21 col. — U et φ RETIRÉS de BD_MATERIAUX (dépendent de e) — calcul dynamique dans RESULTATS après saisie utilisateur</t>
        </is>
      </c>
      <c r="F22" s="289" t="inlineStr">
        <is>
          <t>Correction structurelle : la BD ne doit contenir que les propriétés INTRINSÈQUES du matériau (λ, ρ, Cp). U et φ dépendent de l'épaisseur e saisie par l'utilisateur et se calculent à la volée dans l'onglet RESULTATS via les formules ISO 6946/13786.</t>
        </is>
      </c>
      <c r="G22" s="289" t="inlineStr">
        <is>
          <t>STRUCTUREL</t>
        </is>
      </c>
    </row>
    <row r="23">
      <c r="A23" s="289" t="inlineStr">
        <is>
          <t>BD_MATERIAUX</t>
        </is>
      </c>
      <c r="B23" s="289" t="inlineStr">
        <is>
          <t>Colonnes J-L (nouvelles)</t>
        </is>
      </c>
      <c r="C23" s="289" t="inlineStr">
        <is>
          <t>Propriétés dérivées intrinsèques</t>
        </is>
      </c>
      <c r="D23" s="289" t="inlineStr">
        <is>
          <t>—</t>
        </is>
      </c>
      <c r="E23" s="289" t="inlineStr">
        <is>
          <t>a = λ/(ρ·Cp) [diffusivité, ×10⁻⁷ m²/s]  |  b = √(λ·ρ·Cp) [effusivité]  |  δ = √(λ·T/(π·ρ·Cp)) [pénétration diurne, m]</t>
        </is>
      </c>
      <c r="F23" s="289" t="inlineStr">
        <is>
          <t>Ajout de 3 propriétés dérivées CALCULÉES par formules vivantes — indépendantes de e — utiles pour comparer les matériaux (inertie, capacité d'absorption thermique)</t>
        </is>
      </c>
      <c r="G23" s="289" t="inlineStr">
        <is>
          <t>NOUVEAU</t>
        </is>
      </c>
    </row>
    <row r="24">
      <c r="A24" s="290" t="inlineStr">
        <is>
          <t>BD_BATIMENTS</t>
        </is>
      </c>
      <c r="B24" s="290" t="inlineStr">
        <is>
          <t>L5-L26 (22 archétypes)</t>
        </is>
      </c>
      <c r="C24" s="290" t="inlineStr">
        <is>
          <t>Structure et valeurs</t>
        </is>
      </c>
      <c r="D24" s="290" t="inlineStr">
        <is>
          <t>Inchangé</t>
        </is>
      </c>
      <c r="E24" s="290" t="inlineStr">
        <is>
          <t>Inchangé</t>
        </is>
      </c>
      <c r="F24" s="290" t="inlineStr">
        <is>
          <t>Aucun référentiel africain quantifié type RTAO identifié. ASHRAE 2021 Ch.18 + EN 15251:2007 + IESVE + pratique BTP Bénin conservés (source secondaire acceptable, documentée).</t>
        </is>
      </c>
      <c r="G24" s="290" t="inlineStr">
        <is>
          <t>PRÉSERVÉ</t>
        </is>
      </c>
    </row>
    <row r="25"/>
    <row r="26">
      <c r="A26" s="291" t="inlineStr">
        <is>
          <t>LÉGENDE</t>
        </is>
      </c>
    </row>
    <row r="27">
      <c r="A27" s="292" t="inlineStr">
        <is>
          <t>CRITIQUE</t>
        </is>
      </c>
      <c r="B27" s="80" t="inlineStr">
        <is>
          <t>Erreur factuelle (DOI faux, valeur numérique aberrante) — correction indispensable</t>
        </is>
      </c>
    </row>
    <row r="28">
      <c r="A28" s="293" t="inlineStr">
        <is>
          <t>IMPORTANT</t>
        </is>
      </c>
      <c r="B28" s="80" t="inlineStr">
        <is>
          <t>Écart notable justifiant révision (&gt;5% ou changement de classification)</t>
        </is>
      </c>
    </row>
    <row r="29">
      <c r="A29" s="294" t="inlineStr">
        <is>
          <t>STRUCTUREL</t>
        </is>
      </c>
      <c r="B29" s="80" t="inlineStr">
        <is>
          <t>Modification de la structure de la BD (colonnes, principe de calcul)</t>
        </is>
      </c>
    </row>
    <row r="30">
      <c r="A30" s="322" t="inlineStr">
        <is>
          <t>NOUVEAU</t>
        </is>
      </c>
      <c r="B30" s="80" t="inlineStr">
        <is>
          <t>Ajout par rapport à v5</t>
        </is>
      </c>
    </row>
    <row r="31">
      <c r="A31" t="inlineStr">
        <is>
          <t>PRÉSERVÉ</t>
        </is>
      </c>
      <c r="B31" t="inlineStr">
        <is>
          <t>Aucune modification — la source v5 reste la meilleure disponible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S1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8" customWidth="1" style="80" min="1" max="1"/>
    <col width="9" customWidth="1" style="80" min="2" max="2"/>
    <col width="12" customWidth="1" style="80" min="3" max="3"/>
    <col width="9" customWidth="1" style="80" min="4" max="4"/>
    <col width="13" customWidth="1" style="80" min="5" max="5"/>
    <col width="18" customWidth="1" style="80" min="6" max="6"/>
    <col width="19" customWidth="1" style="80" min="7" max="8"/>
    <col width="26" customWidth="1" style="80" min="9" max="9"/>
    <col width="11" customWidth="1" style="80" min="10" max="10"/>
    <col width="42" customWidth="1" style="80" min="11" max="11"/>
    <col width="40" customWidth="1" style="80" min="12" max="12"/>
    <col width="26" customWidth="1" style="80" min="13" max="13"/>
    <col width="12" customWidth="1" style="80" min="14" max="14"/>
    <col width="34" customWidth="1" style="80" min="15" max="15"/>
    <col width="30" customWidth="1" style="80" min="16" max="16"/>
  </cols>
  <sheetData>
    <row r="1" ht="30" customHeight="1" s="81">
      <c r="A1" s="82" t="inlineStr">
        <is>
          <t>SIMTHERM v2 — Afrique Tropicale — BD_PAYS</t>
        </is>
      </c>
    </row>
    <row r="2" ht="19.5" customHeight="1" s="81">
      <c r="A2" s="83" t="inlineStr">
        <is>
          <t>Phase 1 : Configuration des 11 pays — Températures de neutralité, monnaies, références confort</t>
        </is>
      </c>
    </row>
    <row r="3" ht="7.5" customHeight="1" s="81"/>
    <row r="4" ht="37.5" customHeight="1" s="81">
      <c r="A4" s="84" t="inlineStr">
        <is>
          <t>Pays</t>
        </is>
      </c>
      <c r="B4" s="84" t="inlineStr">
        <is>
          <t>Code ISO</t>
        </is>
      </c>
      <c r="C4" s="84" t="inlineStr">
        <is>
          <t>Monnaie</t>
        </is>
      </c>
      <c r="D4" s="84" t="inlineStr">
        <is>
          <t>Symbole</t>
        </is>
      </c>
      <c r="E4" s="84" t="inlineStr">
        <is>
          <t>Taux vs FCFA</t>
        </is>
      </c>
      <c r="F4" s="84" t="inlineStr">
        <is>
          <t>T° neutralité (°C)</t>
        </is>
      </c>
      <c r="G4" s="84" t="inlineStr">
        <is>
          <t>T° confort min (°C)</t>
        </is>
      </c>
      <c r="H4" s="84" t="inlineStr">
        <is>
          <t>T° confort max (°C)</t>
        </is>
      </c>
      <c r="I4" s="85" t="inlineStr">
        <is>
          <t>Méthode calcul neutralité</t>
        </is>
      </c>
      <c r="J4" s="85" t="inlineStr">
        <is>
          <t>Fiabilité ★</t>
        </is>
      </c>
      <c r="K4" s="85" t="inlineStr">
        <is>
          <t>Source / Référence bibliographique</t>
        </is>
      </c>
      <c r="L4" s="85" t="inlineStr">
        <is>
          <t>DOI / URL</t>
        </is>
      </c>
      <c r="M4" s="85" t="inlineStr">
        <is>
          <t>Institution référence</t>
        </is>
      </c>
      <c r="N4" s="85" t="inlineStr">
        <is>
          <t>Année source</t>
        </is>
      </c>
      <c r="O4" s="85" t="inlineStr">
        <is>
          <t>Lacunes documentaires</t>
        </is>
      </c>
      <c r="P4" s="85" t="inlineStr">
        <is>
          <t>Remarques</t>
        </is>
      </c>
    </row>
    <row r="5" ht="31.5" customHeight="1" s="81">
      <c r="A5" s="86" t="inlineStr">
        <is>
          <t>Bénin</t>
        </is>
      </c>
      <c r="B5" s="87" t="inlineStr">
        <is>
          <t>BJ</t>
        </is>
      </c>
      <c r="C5" s="87" t="inlineStr">
        <is>
          <t>FCFA (XOF)</t>
        </is>
      </c>
      <c r="D5" s="87" t="inlineStr">
        <is>
          <t>FCFA</t>
        </is>
      </c>
      <c r="E5" s="87" t="n">
        <v>1</v>
      </c>
      <c r="F5" s="88" t="n">
        <v>26.1</v>
      </c>
      <c r="G5" s="87" t="n">
        <v>24</v>
      </c>
      <c r="H5" s="87" t="n">
        <v>28</v>
      </c>
      <c r="I5" s="89" t="inlineStr">
        <is>
          <t>Mesure expérimentale terrain</t>
        </is>
      </c>
      <c r="J5" s="90" t="inlineStr">
        <is>
          <t>★★★★★</t>
        </is>
      </c>
      <c r="K5" s="89" t="inlineStr">
        <is>
          <t>Kiki T.W. et al. (2020) — Building and Environment vol.185 art.107277</t>
        </is>
      </c>
      <c r="L5" s="89" t="inlineStr">
        <is>
          <t>DOI:10.1016/j.buildenv.2020.107277</t>
        </is>
      </c>
      <c r="M5" s="89" t="inlineStr">
        <is>
          <t>UAC / Laboratoire Énergie Bâtiment</t>
        </is>
      </c>
      <c r="N5" s="90" t="n">
        <v>2020</v>
      </c>
      <c r="O5" s="89" t="inlineStr">
        <is>
          <t>Données disponibles uniquement pour Cotonou (Sud). Parakou et Nord Bénin : analogie Humphreys.</t>
        </is>
      </c>
      <c r="P5" s="89" t="inlineStr">
        <is>
          <t>Pays pivot SimTherm — données de référence les plus complètes du panel</t>
        </is>
      </c>
    </row>
    <row r="6" ht="31.5" customHeight="1" s="81">
      <c r="A6" s="91" t="inlineStr">
        <is>
          <t>Burkina Faso</t>
        </is>
      </c>
      <c r="B6" s="92" t="inlineStr">
        <is>
          <t>BF</t>
        </is>
      </c>
      <c r="C6" s="92" t="inlineStr">
        <is>
          <t>FCFA (XOF)</t>
        </is>
      </c>
      <c r="D6" s="92" t="inlineStr">
        <is>
          <t>FCFA</t>
        </is>
      </c>
      <c r="E6" s="92" t="n">
        <v>1</v>
      </c>
      <c r="F6" s="93" t="n">
        <v>26.6</v>
      </c>
      <c r="G6" s="92" t="n">
        <v>24.5</v>
      </c>
      <c r="H6" s="92" t="n">
        <v>28.5</v>
      </c>
      <c r="I6" s="94" t="inlineStr">
        <is>
          <t>Calculée — Formule Humphreys : Tn = 17.6 + 0.31 × Tmoy(29°C)</t>
        </is>
      </c>
      <c r="J6" s="95" t="inlineStr">
        <is>
          <t>★★★</t>
        </is>
      </c>
      <c r="K6" s="94" t="inlineStr">
        <is>
          <t>Humphreys M.A. (1978) — Outdoor temperatures and comfort indoors. Build.Res.Practice 6(2)</t>
        </is>
      </c>
      <c r="L6" s="94" t="inlineStr">
        <is>
          <t>Analogie zone BSh/Aw — Tmoy Ouagadougou 29°C</t>
        </is>
      </c>
      <c r="M6" s="94" t="inlineStr">
        <is>
          <t>2iE Ouagadougou</t>
        </is>
      </c>
      <c r="N6" s="95" t="n">
        <v>1978</v>
      </c>
      <c r="O6" s="94" t="inlineStr">
        <is>
          <t>Aucune mesure terrain publiée avec DOI pour Burkina Faso. À valider.</t>
        </is>
      </c>
      <c r="P6" s="94" t="inlineStr">
        <is>
          <t>Valeur estimée — à mentionner dans le mémoire</t>
        </is>
      </c>
    </row>
    <row r="7" ht="31.5" customHeight="1" s="81">
      <c r="A7" s="91" t="inlineStr">
        <is>
          <t>Nigeria</t>
        </is>
      </c>
      <c r="B7" s="92" t="inlineStr">
        <is>
          <t>NG</t>
        </is>
      </c>
      <c r="C7" s="92" t="inlineStr">
        <is>
          <t>Naira (NGN)</t>
        </is>
      </c>
      <c r="D7" s="92" t="inlineStr">
        <is>
          <t>NGN</t>
        </is>
      </c>
      <c r="E7" s="297" t="n">
        <v>0.41</v>
      </c>
      <c r="F7" s="298" t="n">
        <v>28.8</v>
      </c>
      <c r="G7" s="297" t="n">
        <v>25.2</v>
      </c>
      <c r="H7" s="297" t="n">
        <v>32.3</v>
      </c>
      <c r="I7" s="299" t="inlineStr">
        <is>
          <t>Mesure expérimentale terrain — écoles NV Imo State</t>
        </is>
      </c>
      <c r="J7" s="297" t="inlineStr">
        <is>
          <t>★★★★★</t>
        </is>
      </c>
      <c r="K7" s="299" t="inlineStr">
        <is>
          <t>Munonye C. &amp; Ji Y. (2021) — Building Services Engineering Research &amp; Technology 42(1):5-25</t>
        </is>
      </c>
      <c r="L7" s="299" t="inlineStr">
        <is>
          <t>DOI:10.1177/0143624420911148</t>
        </is>
      </c>
      <c r="M7" s="299" t="inlineStr">
        <is>
          <t>University of Salford (UK) + Imo State University Nigeria</t>
        </is>
      </c>
      <c r="N7" s="297" t="n">
        <v>2021</v>
      </c>
      <c r="O7" s="89" t="inlineStr">
        <is>
          <t>Résultats Imo State (zone Aw sud-est). Tn varie fortement selon région : Lagos 29.1 / Abuja 28.9 / Enugu 28.8 / Jos 26.3 / Kano ~26 (analogie).</t>
        </is>
      </c>
      <c r="P7" s="89" t="inlineStr">
        <is>
          <t>CORRECTION v6 : DOI v5 (10.3389/fbuil.2017.00070) pointait en réalité vers Ng CF 2017 tall buildings — remplacé par Munonye &amp; Ji 2021 vérifié.</t>
        </is>
      </c>
    </row>
    <row r="8" ht="31.5" customHeight="1" s="81">
      <c r="A8" s="96" t="inlineStr">
        <is>
          <t>Cameroun</t>
        </is>
      </c>
      <c r="B8" s="97" t="inlineStr">
        <is>
          <t>CM</t>
        </is>
      </c>
      <c r="C8" s="97" t="inlineStr">
        <is>
          <t>FCFA (XAF)</t>
        </is>
      </c>
      <c r="D8" s="97" t="inlineStr">
        <is>
          <t>FCFA</t>
        </is>
      </c>
      <c r="E8" s="97" t="n">
        <v>1</v>
      </c>
      <c r="F8" s="298" t="n">
        <v>25</v>
      </c>
      <c r="G8" s="297" t="n">
        <v>22</v>
      </c>
      <c r="H8" s="297" t="n">
        <v>29</v>
      </c>
      <c r="I8" s="299" t="inlineStr">
        <is>
          <t>Mesure expérimentale — questionnaire 3 villes (Douala/Yaoundé/Bertoua)</t>
        </is>
      </c>
      <c r="J8" s="297" t="inlineStr">
        <is>
          <t>★★★★</t>
        </is>
      </c>
      <c r="K8" s="299" t="inlineStr">
        <is>
          <t>Nematchoua M.K., Tchinda R. &amp; Orosa J.A. (2014) — Renewable and Sustainable Energy Reviews 39:381-393</t>
        </is>
      </c>
      <c r="L8" s="299" t="inlineStr">
        <is>
          <t>DOI:10.1016/j.rser.2014.07.010</t>
        </is>
      </c>
      <c r="M8" s="94" t="inlineStr">
        <is>
          <t>MIPROMALO — Mission de Promotion des Matériaux Locaux</t>
        </is>
      </c>
      <c r="N8" s="297" t="n">
        <v>2014</v>
      </c>
      <c r="O8" s="94" t="inlineStr">
        <is>
          <t>Plage confort 22-29°C — Tint moy 25.6°C côte / 24.3°C équatorial. Valeur v5 (26.5) non retrouvée dans source citée (Appl. Energy).</t>
        </is>
      </c>
      <c r="P8" s="94" t="inlineStr">
        <is>
          <t>CORRECTION v6 : Substitution vers paper compagnon RSER 2014 où la plage de confort est explicitement documentée.</t>
        </is>
      </c>
    </row>
    <row r="9" ht="31.5" customHeight="1" s="81">
      <c r="A9" s="91" t="inlineStr">
        <is>
          <t>Ghana</t>
        </is>
      </c>
      <c r="B9" s="92" t="inlineStr">
        <is>
          <t>GH</t>
        </is>
      </c>
      <c r="C9" s="92" t="inlineStr">
        <is>
          <t>Cedi (GHS)</t>
        </is>
      </c>
      <c r="D9" s="92" t="inlineStr">
        <is>
          <t>GHS</t>
        </is>
      </c>
      <c r="E9" s="297" t="n">
        <v>48.8</v>
      </c>
      <c r="F9" s="93" t="n">
        <v>27</v>
      </c>
      <c r="G9" s="92" t="n">
        <v>25</v>
      </c>
      <c r="H9" s="92" t="n">
        <v>29</v>
      </c>
      <c r="I9" s="89" t="inlineStr">
        <is>
          <t>Analogie zone Aw — Agyeman &amp; Asante 2020 + Humphreys Tmoy(27°C)</t>
        </is>
      </c>
      <c r="J9" s="90" t="inlineStr">
        <is>
          <t>★★★</t>
        </is>
      </c>
      <c r="K9" s="89" t="inlineStr">
        <is>
          <t>Agyeman E.O. &amp; Asante B. (2020) — Toward African-specific thermal comfort standards. Build. Environ.</t>
        </is>
      </c>
      <c r="L9" s="89" t="inlineStr">
        <is>
          <t>Agyeman &amp; Asante 2020 — analogie zone Aw</t>
        </is>
      </c>
      <c r="M9" s="89" t="inlineStr">
        <is>
          <t>BRRI — Building and Road Research Institute, Kumasi</t>
        </is>
      </c>
      <c r="N9" s="90" t="n">
        <v>2020</v>
      </c>
      <c r="O9" s="89" t="inlineStr">
        <is>
          <t>Données en cours de développement. BRRI Kumasi dispose probablement de données non publiées.</t>
        </is>
      </c>
      <c r="P9" s="89" t="inlineStr">
        <is>
          <t>Taux GHS/FCFA actualisé août 2026 (Xe/Wise) — valeur v5 (0.009) était aberrante.</t>
        </is>
      </c>
    </row>
    <row r="10" ht="31.5" customHeight="1" s="81">
      <c r="A10" s="91" t="inlineStr">
        <is>
          <t>Sénégal</t>
        </is>
      </c>
      <c r="B10" s="92" t="inlineStr">
        <is>
          <t>SN</t>
        </is>
      </c>
      <c r="C10" s="92" t="inlineStr">
        <is>
          <t>FCFA (XOF)</t>
        </is>
      </c>
      <c r="D10" s="92" t="inlineStr">
        <is>
          <t>FCFA</t>
        </is>
      </c>
      <c r="E10" s="92" t="n">
        <v>1</v>
      </c>
      <c r="F10" s="298" t="n">
        <v>25</v>
      </c>
      <c r="G10" s="92" t="n">
        <v>23</v>
      </c>
      <c r="H10" s="92" t="n">
        <v>27</v>
      </c>
      <c r="I10" s="299" t="inlineStr">
        <is>
          <t>Calculée — Formule Humphreys : Tn = 17.6 + 0.31 × Tmoy(24°C Dakar BSh)</t>
        </is>
      </c>
      <c r="J10" s="300" t="inlineStr">
        <is>
          <t>★★★</t>
        </is>
      </c>
      <c r="K10" s="299" t="inlineStr">
        <is>
          <t>Humphreys M.A. (1978) — Outdoor temperatures and comfort indoors. Building Research and Practice 6(2)</t>
        </is>
      </c>
      <c r="L10" s="299" t="inlineStr">
        <is>
          <t>Analogie — pas de Tn expérimental sénégalais documenté avec DOI</t>
        </is>
      </c>
      <c r="M10" s="299" t="inlineStr">
        <is>
          <t>Analogie zone BSh côtière</t>
        </is>
      </c>
      <c r="N10" s="95" t="n">
        <v>2013</v>
      </c>
      <c r="O10" s="94" t="inlineStr">
        <is>
          <t>LACUNE : Aucune Tn expérimentale identifiée pour le Sénégal. Bal et al. 2013 (retiré de v5) était une étude MATÉRIAUX (briques latérite/mil), pas confort.</t>
        </is>
      </c>
      <c r="P10" s="94" t="inlineStr">
        <is>
          <t>CORRECTION v6 : DOI v5 (10.1016/j.conbuildmat.2011.12.051) faux ; DOI réel de Bal 2013 = 10.1016/j.conbuildmat.2012.12.032 (mat.). Reclassé dans BD_MATERIAUX.</t>
        </is>
      </c>
    </row>
    <row r="11" ht="31.5" customHeight="1" s="81">
      <c r="A11" s="91" t="inlineStr">
        <is>
          <t>Kenya</t>
        </is>
      </c>
      <c r="B11" s="92" t="inlineStr">
        <is>
          <t>KE</t>
        </is>
      </c>
      <c r="C11" s="92" t="inlineStr">
        <is>
          <t>Shilling (KSH)</t>
        </is>
      </c>
      <c r="D11" s="92" t="inlineStr">
        <is>
          <t>KSH</t>
        </is>
      </c>
      <c r="E11" s="297" t="n">
        <v>4.39</v>
      </c>
      <c r="F11" s="93" t="n">
        <v>23.2</v>
      </c>
      <c r="G11" s="92" t="n">
        <v>21</v>
      </c>
      <c r="H11" s="92" t="n">
        <v>26</v>
      </c>
      <c r="I11" s="89" t="inlineStr">
        <is>
          <t>Calculée — Humphreys : Tn = 17.6 + 0.31 × Tmoy(18°C) — altitude Nairobi 1700m</t>
        </is>
      </c>
      <c r="J11" s="90" t="inlineStr">
        <is>
          <t>★★★</t>
        </is>
      </c>
      <c r="K11" s="89" t="inlineStr">
        <is>
          <t>Humphreys M.A. (1978) — Mwaikambo L.Y. analogie altitude</t>
        </is>
      </c>
      <c r="L11" s="89" t="inlineStr">
        <is>
          <t>Altitude Nairobi 1700m — Tmoy 18°C très différent</t>
        </is>
      </c>
      <c r="M11" s="89" t="inlineStr">
        <is>
          <t>NCA — National Construction Authority Kenya</t>
        </is>
      </c>
      <c r="N11" s="90" t="n">
        <v>2002</v>
      </c>
      <c r="O11" s="89" t="inlineStr">
        <is>
          <t>ATTENTION : Nairobi (1700m, Tmoy 18°C) très différent de Mombasa côtier (Tmoy 28°C). Deux valeurs Tn nécessaires.</t>
        </is>
      </c>
      <c r="P11" s="89" t="inlineStr">
        <is>
          <t>Taux KSH/FCFA actualisé août 2026 (Xe/Wise/Pluang) — valeur v5 (0.007) aberrante. Nairobi altitude Tn=23.2°C conservée (Tmoy=18°C) ; Mombasa côtier Tn=25-26°C distincte.</t>
        </is>
      </c>
    </row>
    <row r="12" ht="31.5" customHeight="1" s="81">
      <c r="A12" s="99" t="inlineStr">
        <is>
          <t>Mali</t>
        </is>
      </c>
      <c r="B12" s="100" t="inlineStr">
        <is>
          <t>ML</t>
        </is>
      </c>
      <c r="C12" s="100" t="inlineStr">
        <is>
          <t>FCFA (XOF)</t>
        </is>
      </c>
      <c r="D12" s="100" t="inlineStr">
        <is>
          <t>FCFA</t>
        </is>
      </c>
      <c r="E12" s="100" t="n">
        <v>1</v>
      </c>
      <c r="F12" s="298" t="n">
        <v>26.3</v>
      </c>
      <c r="G12" s="100" t="n">
        <v>25</v>
      </c>
      <c r="H12" s="100" t="n">
        <v>29.5</v>
      </c>
      <c r="I12" s="299" t="inlineStr">
        <is>
          <t>Calculée — Formule Humphreys : Tn = 17.6 + 0.31 × Tmoy(28°C Bamako BSh/Aw)</t>
        </is>
      </c>
      <c r="J12" s="95" t="inlineStr">
        <is>
          <t>★★</t>
        </is>
      </c>
      <c r="K12" s="299" t="inlineStr">
        <is>
          <t>Humphreys M.A. (1978) — Outdoor temperatures and comfort indoors. Building Research and Practice 6(2)</t>
        </is>
      </c>
      <c r="L12" s="299" t="inlineStr">
        <is>
          <t>Analogie — pas de Tn expérimental malien documenté avec DOI</t>
        </is>
      </c>
      <c r="M12" s="94" t="inlineStr">
        <is>
          <t>CRATerre + Université de Bamako</t>
        </is>
      </c>
      <c r="N12" s="95" t="n">
        <v>2025</v>
      </c>
      <c r="O12" s="94" t="inlineStr">
        <is>
          <t>LACUNE : Aucune Tn expérimentale identifiée pour le Mali. Diallo 2025 WJARR (retiré) = étude BTC argiles Dialakoro/Kita (matériaux), pas confort.</t>
        </is>
      </c>
      <c r="P12" s="94" t="inlineStr">
        <is>
          <t>CORRECTION v6 : DOI v5 (10.30574/wjarr.2025.25.1.3371) faux ; DOI réel = 10.30574/wjarr.2025.28.1.3371. Reclassé dans BD_MATERIAUX.</t>
        </is>
      </c>
    </row>
    <row r="13" ht="31.5" customHeight="1" s="81">
      <c r="A13" s="99" t="inlineStr">
        <is>
          <t>Côte d'Ivoire</t>
        </is>
      </c>
      <c r="B13" s="100" t="inlineStr">
        <is>
          <t>CI</t>
        </is>
      </c>
      <c r="C13" s="100" t="inlineStr">
        <is>
          <t>FCFA (XOF)</t>
        </is>
      </c>
      <c r="D13" s="100" t="inlineStr">
        <is>
          <t>FCFA</t>
        </is>
      </c>
      <c r="E13" s="100" t="n">
        <v>1</v>
      </c>
      <c r="F13" s="101" t="n">
        <v>25.9</v>
      </c>
      <c r="G13" s="100" t="n">
        <v>23.5</v>
      </c>
      <c r="H13" s="100" t="n">
        <v>27.5</v>
      </c>
      <c r="I13" s="89" t="inlineStr">
        <is>
          <t>Calculée — Humphreys : Tn = 17.6 + 0.31 × Tmoy(27°C) — analogie Cameroun côtier</t>
        </is>
      </c>
      <c r="J13" s="90" t="inlineStr">
        <is>
          <t>★★</t>
        </is>
      </c>
      <c r="K13" s="89" t="inlineStr">
        <is>
          <t>Humphreys M.A. (1978) — Analogie Nematchoua 2014 (Cameroun)</t>
        </is>
      </c>
      <c r="L13" s="89" t="inlineStr">
        <is>
          <t>Analogie zone Am côtier — Tmoy Abidjan 27°C</t>
        </is>
      </c>
      <c r="M13" s="89" t="inlineStr">
        <is>
          <t>LBTP — Laboratoire du Bâtiment et des Travaux Publics, Abidjan</t>
        </is>
      </c>
      <c r="N13" s="90" t="n">
        <v>2014</v>
      </c>
      <c r="O13" s="89" t="inlineStr">
        <is>
          <t>LACUNE CRITIQUE : 0 publication avec DOI identifiée. LBTP Abidjan dispose de données non publiées.</t>
        </is>
      </c>
      <c r="P13" s="89" t="inlineStr">
        <is>
          <t>Recommandation : collaboration LBTP-UAC indispensable — à mentionner dans le mémoire</t>
        </is>
      </c>
    </row>
    <row r="14" ht="31.5" customHeight="1" s="81">
      <c r="A14" s="99" t="inlineStr">
        <is>
          <t>Niger</t>
        </is>
      </c>
      <c r="B14" s="100" t="inlineStr">
        <is>
          <t>NE</t>
        </is>
      </c>
      <c r="C14" s="100" t="inlineStr">
        <is>
          <t>FCFA (XOF)</t>
        </is>
      </c>
      <c r="D14" s="100" t="inlineStr">
        <is>
          <t>FCFA</t>
        </is>
      </c>
      <c r="E14" s="100" t="n">
        <v>1</v>
      </c>
      <c r="F14" s="101" t="n">
        <v>26.9</v>
      </c>
      <c r="G14" s="100" t="n">
        <v>25</v>
      </c>
      <c r="H14" s="100" t="n">
        <v>30</v>
      </c>
      <c r="I14" s="94" t="inlineStr">
        <is>
          <t>Calculée — Humphreys : Tn = 17.6 + 0.31 × Tmoy(30°C) — zone BSh/BWh extrême</t>
        </is>
      </c>
      <c r="J14" s="95" t="inlineStr">
        <is>
          <t>★★</t>
        </is>
      </c>
      <c r="K14" s="94" t="inlineStr">
        <is>
          <t>Humphreys M.A. (1978) + Oumarou I. et al. (2023) — analogie sahélienne</t>
        </is>
      </c>
      <c r="L14" s="94" t="inlineStr">
        <is>
          <t>Analogie zone BSh/BWh — Tmoy Niamey 30°C</t>
        </is>
      </c>
      <c r="M14" s="94" t="inlineStr">
        <is>
          <t>Université Abdou Moumouni, Niamey</t>
        </is>
      </c>
      <c r="N14" s="95" t="n">
        <v>2023</v>
      </c>
      <c r="O14" s="94" t="inlineStr">
        <is>
          <t>Zone climatique la plus aride du panel. Agadez (BWh) : T°ext &gt; 45°C. Confort adaptatif encore peu étudié.</t>
        </is>
      </c>
      <c r="P14" s="94" t="inlineStr">
        <is>
          <t>Brique de sel Agadez = matériau traditionnel unique non documenté thermiquement</t>
        </is>
      </c>
    </row>
    <row r="15" ht="31.5" customHeight="1" s="81">
      <c r="A15" s="99" t="inlineStr">
        <is>
          <t>Togo</t>
        </is>
      </c>
      <c r="B15" s="100" t="inlineStr">
        <is>
          <t>TG</t>
        </is>
      </c>
      <c r="C15" s="100" t="inlineStr">
        <is>
          <t>FCFA (XOF)</t>
        </is>
      </c>
      <c r="D15" s="100" t="inlineStr">
        <is>
          <t>FCFA</t>
        </is>
      </c>
      <c r="E15" s="100" t="n">
        <v>1</v>
      </c>
      <c r="F15" s="101" t="n">
        <v>25.9</v>
      </c>
      <c r="G15" s="100" t="n">
        <v>23.5</v>
      </c>
      <c r="H15" s="100" t="n">
        <v>27.5</v>
      </c>
      <c r="I15" s="89" t="inlineStr">
        <is>
          <t>Calculée — Humphreys : Tn = 17.6 + 0.31 × Tmoy(27°C) — analogie Bénin voisin</t>
        </is>
      </c>
      <c r="J15" s="90" t="inlineStr">
        <is>
          <t>★★</t>
        </is>
      </c>
      <c r="K15" s="89" t="inlineStr">
        <is>
          <t>Humphreys M.A. (1978) — Analogie Kiki et al. 2020 (Bénin voisin)</t>
        </is>
      </c>
      <c r="L15" s="89" t="inlineStr">
        <is>
          <t>Analogie Bénin — même latitude, même zone Aw côtier</t>
        </is>
      </c>
      <c r="M15" s="89" t="inlineStr">
        <is>
          <t>CERFER — Centre de Recherche Énergies Renouvelables, Lomé</t>
        </is>
      </c>
      <c r="N15" s="90" t="n">
        <v>2020</v>
      </c>
      <c r="O15" s="89" t="inlineStr">
        <is>
          <t>LACUNE CRITIQUE : 0 publication avec DOI identifiée pour matériaux ni confort thermique togolais.</t>
        </is>
      </c>
      <c r="P15" s="89" t="inlineStr">
        <is>
          <t>Recommandation : collaboration CERFER-UAC — à mentionner dans le mémoire</t>
        </is>
      </c>
    </row>
    <row r="16" ht="21.75" customHeight="1" s="81">
      <c r="A16" s="102" t="n"/>
      <c r="B16" s="103" t="n"/>
      <c r="C16" s="103" t="n"/>
      <c r="D16" s="103" t="n"/>
      <c r="E16" s="103" t="n"/>
      <c r="F16" s="103" t="n"/>
      <c r="G16" s="103" t="n"/>
      <c r="H16" s="103" t="n"/>
      <c r="I16" s="103" t="n"/>
      <c r="J16" s="103" t="n"/>
      <c r="K16" s="103" t="n"/>
      <c r="L16" s="103" t="n"/>
      <c r="M16" s="103" t="n"/>
      <c r="N16" s="103" t="n"/>
      <c r="O16" s="103" t="n"/>
      <c r="P16" s="103" t="n"/>
      <c r="Q16" s="104" t="n"/>
      <c r="R16" s="104" t="n"/>
      <c r="S16" s="104" t="n"/>
    </row>
  </sheetData>
  <autoFilter ref="A4:P4"/>
  <mergeCells count="3">
    <mergeCell ref="A16:P16"/>
    <mergeCell ref="A2:S2"/>
    <mergeCell ref="A1:S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S16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6" customWidth="1" style="80" min="1" max="1"/>
    <col width="6" customWidth="1" style="80" min="2" max="2"/>
    <col width="20" customWidth="1" style="80" min="3" max="3"/>
    <col width="12" customWidth="1" style="80" min="4" max="4"/>
    <col width="28" customWidth="1" style="80" min="5" max="5"/>
    <col width="14" customWidth="1" style="80" min="6" max="8"/>
    <col width="13" customWidth="1" style="80" min="9" max="9"/>
    <col width="14" customWidth="1" style="80" min="10" max="10"/>
    <col width="13" customWidth="1" style="80" min="11" max="11"/>
    <col width="16" customWidth="1" style="80" min="12" max="12"/>
    <col width="18" customWidth="1" style="80" min="13" max="13"/>
    <col width="30" customWidth="1" style="80" min="14" max="14"/>
    <col width="13" customWidth="1" style="80" min="15" max="15"/>
    <col width="32" customWidth="1" style="80" min="16" max="16"/>
  </cols>
  <sheetData>
    <row r="1" ht="30" customHeight="1" s="81">
      <c r="A1" s="82" t="inlineStr">
        <is>
          <t>SIMTHERM v2 — Afrique Tropicale — BD_CLIMAT</t>
        </is>
      </c>
    </row>
    <row r="2" ht="19.5" customHeight="1" s="81">
      <c r="A2" s="83" t="inlineStr">
        <is>
          <t>BD_CLIMAT v4 — 156 villes — Bénin : 77 communes — 11 pays — 5 zones Köppen</t>
        </is>
      </c>
    </row>
    <row r="4" ht="42" customHeight="1" s="81">
      <c r="A4" s="84" t="inlineStr">
        <is>
          <t>Pays</t>
        </is>
      </c>
      <c r="B4" s="84" t="inlineStr">
        <is>
          <t>Code</t>
        </is>
      </c>
      <c r="C4" s="84" t="inlineStr">
        <is>
          <t>Ville</t>
        </is>
      </c>
      <c r="D4" s="84" t="inlineStr">
        <is>
          <t>Zone Köppen</t>
        </is>
      </c>
      <c r="E4" s="85" t="inlineStr">
        <is>
          <t>Description zone</t>
        </is>
      </c>
      <c r="F4" s="85" t="inlineStr">
        <is>
          <t>Tmin (°C)
mois le + froid</t>
        </is>
      </c>
      <c r="G4" s="85" t="inlineStr">
        <is>
          <t>Tmax (°C)
mois le + chaud</t>
        </is>
      </c>
      <c r="H4" s="85" t="inlineStr">
        <is>
          <t>Tmoy annuelle (°C)</t>
        </is>
      </c>
      <c r="I4" s="85" t="inlineStr">
        <is>
          <t>HR moyenne (%)</t>
        </is>
      </c>
      <c r="J4" s="85" t="inlineStr">
        <is>
          <t>GHI (kWh/m²/j)</t>
        </is>
      </c>
      <c r="K4" s="85" t="inlineStr">
        <is>
          <t>Amplitude (°C)</t>
        </is>
      </c>
      <c r="L4" s="85" t="inlineStr">
        <is>
          <t>Précip. annuelles (mm)</t>
        </is>
      </c>
      <c r="M4" s="105" t="inlineStr">
        <is>
          <t>T°neutralité retenue (°C)</t>
        </is>
      </c>
      <c r="N4" s="105" t="inlineStr">
        <is>
          <t>Source données climatiques</t>
        </is>
      </c>
      <c r="O4" s="105" t="inlineStr">
        <is>
          <t>Année données</t>
        </is>
      </c>
      <c r="P4" s="105" t="inlineStr">
        <is>
          <t>Remarques</t>
        </is>
      </c>
    </row>
    <row r="5" ht="21.75" customHeight="1" s="81">
      <c r="A5" s="166" t="inlineStr">
        <is>
          <t>Bénin</t>
        </is>
      </c>
      <c r="B5" s="167" t="inlineStr">
        <is>
          <t>BJ</t>
        </is>
      </c>
      <c r="C5" s="166" t="inlineStr">
        <is>
          <t>Cotonou</t>
        </is>
      </c>
      <c r="D5" s="168" t="inlineStr">
        <is>
          <t>Am</t>
        </is>
      </c>
      <c r="E5" s="169" t="inlineStr">
        <is>
          <t>Littoral</t>
        </is>
      </c>
      <c r="F5" s="170" t="n">
        <v>24</v>
      </c>
      <c r="G5" s="170" t="n">
        <v>33</v>
      </c>
      <c r="H5" s="171" t="n">
        <v>28</v>
      </c>
      <c r="I5" s="170" t="n">
        <v>82</v>
      </c>
      <c r="J5" s="171" t="n">
        <v>5.2</v>
      </c>
      <c r="K5" s="170" t="n">
        <v>9</v>
      </c>
      <c r="L5" s="172" t="n">
        <v>26.1</v>
      </c>
      <c r="M5" s="173" t="inlineStr">
        <is>
          <t>Kiki et al. 2020 DOI:10.1016/j.buildenv.2020.107277</t>
        </is>
      </c>
      <c r="N5" s="89" t="n"/>
      <c r="O5" s="90" t="n"/>
      <c r="P5" s="89" t="n"/>
    </row>
    <row r="6" ht="21.75" customHeight="1" s="81">
      <c r="A6" s="166" t="inlineStr">
        <is>
          <t>Bénin</t>
        </is>
      </c>
      <c r="B6" s="167" t="inlineStr">
        <is>
          <t>BJ</t>
        </is>
      </c>
      <c r="C6" s="166" t="inlineStr">
        <is>
          <t>Porto-Novo</t>
        </is>
      </c>
      <c r="D6" s="168" t="inlineStr">
        <is>
          <t>Am</t>
        </is>
      </c>
      <c r="E6" s="174" t="inlineStr">
        <is>
          <t>Ouémé</t>
        </is>
      </c>
      <c r="F6" s="175" t="n">
        <v>24</v>
      </c>
      <c r="G6" s="175" t="n">
        <v>33</v>
      </c>
      <c r="H6" s="176" t="n">
        <v>28</v>
      </c>
      <c r="I6" s="175" t="n">
        <v>80</v>
      </c>
      <c r="J6" s="176" t="n">
        <v>5.3</v>
      </c>
      <c r="K6" s="175" t="n">
        <v>9</v>
      </c>
      <c r="L6" s="172" t="n">
        <v>26.1</v>
      </c>
      <c r="M6" s="177" t="inlineStr">
        <is>
          <t>DMN Bénin + analogie Cotonou</t>
        </is>
      </c>
      <c r="N6" s="94" t="n"/>
      <c r="O6" s="95" t="n"/>
      <c r="P6" s="94" t="n"/>
    </row>
    <row r="7" ht="21.75" customHeight="1" s="81">
      <c r="A7" s="166" t="inlineStr">
        <is>
          <t>Bénin</t>
        </is>
      </c>
      <c r="B7" s="167" t="inlineStr">
        <is>
          <t>BJ</t>
        </is>
      </c>
      <c r="C7" s="166" t="inlineStr">
        <is>
          <t>Adjarra</t>
        </is>
      </c>
      <c r="D7" s="168" t="inlineStr">
        <is>
          <t>Am</t>
        </is>
      </c>
      <c r="E7" s="178" t="inlineStr">
        <is>
          <t>Ouémé</t>
        </is>
      </c>
      <c r="F7" s="170" t="n">
        <v>24</v>
      </c>
      <c r="G7" s="170" t="n">
        <v>33</v>
      </c>
      <c r="H7" s="171" t="n">
        <v>28</v>
      </c>
      <c r="I7" s="170" t="n">
        <v>79</v>
      </c>
      <c r="J7" s="171" t="n">
        <v>5.3</v>
      </c>
      <c r="K7" s="170" t="n">
        <v>9</v>
      </c>
      <c r="L7" s="172" t="n">
        <v>26.1</v>
      </c>
      <c r="M7" s="173" t="inlineStr">
        <is>
          <t>climate-data.org + DMN</t>
        </is>
      </c>
      <c r="N7" s="89" t="n"/>
      <c r="O7" s="90" t="n"/>
      <c r="P7" s="89" t="n"/>
    </row>
    <row r="8" ht="21.75" customHeight="1" s="81">
      <c r="A8" s="166" t="inlineStr">
        <is>
          <t>Bénin</t>
        </is>
      </c>
      <c r="B8" s="167" t="inlineStr">
        <is>
          <t>BJ</t>
        </is>
      </c>
      <c r="C8" s="166" t="inlineStr">
        <is>
          <t>Avrankou</t>
        </is>
      </c>
      <c r="D8" s="168" t="inlineStr">
        <is>
          <t>Am</t>
        </is>
      </c>
      <c r="E8" s="174" t="inlineStr">
        <is>
          <t>Ouémé</t>
        </is>
      </c>
      <c r="F8" s="175" t="n">
        <v>24</v>
      </c>
      <c r="G8" s="175" t="n">
        <v>33</v>
      </c>
      <c r="H8" s="176" t="n">
        <v>28</v>
      </c>
      <c r="I8" s="175" t="n">
        <v>79</v>
      </c>
      <c r="J8" s="176" t="n">
        <v>5.3</v>
      </c>
      <c r="K8" s="175" t="n">
        <v>9</v>
      </c>
      <c r="L8" s="172" t="n">
        <v>26.1</v>
      </c>
      <c r="M8" s="177" t="inlineStr">
        <is>
          <t>climate-data.org + DMN</t>
        </is>
      </c>
      <c r="N8" s="94" t="n"/>
      <c r="O8" s="95" t="n"/>
      <c r="P8" s="94" t="n"/>
    </row>
    <row r="9" ht="21.75" customHeight="1" s="81">
      <c r="A9" s="166" t="inlineStr">
        <is>
          <t>Bénin</t>
        </is>
      </c>
      <c r="B9" s="167" t="inlineStr">
        <is>
          <t>BJ</t>
        </is>
      </c>
      <c r="C9" s="166" t="inlineStr">
        <is>
          <t>Akpro-Missérété</t>
        </is>
      </c>
      <c r="D9" s="168" t="inlineStr">
        <is>
          <t>Am</t>
        </is>
      </c>
      <c r="E9" s="178" t="inlineStr">
        <is>
          <t>Ouémé</t>
        </is>
      </c>
      <c r="F9" s="170" t="n">
        <v>24</v>
      </c>
      <c r="G9" s="170" t="n">
        <v>33</v>
      </c>
      <c r="H9" s="171" t="n">
        <v>28</v>
      </c>
      <c r="I9" s="170" t="n">
        <v>80</v>
      </c>
      <c r="J9" s="171" t="n">
        <v>5.3</v>
      </c>
      <c r="K9" s="170" t="n">
        <v>9</v>
      </c>
      <c r="L9" s="172" t="n">
        <v>26.1</v>
      </c>
      <c r="M9" s="173" t="inlineStr">
        <is>
          <t>climate-data.org + DMN</t>
        </is>
      </c>
      <c r="N9" s="89" t="n"/>
      <c r="O9" s="90" t="n"/>
      <c r="P9" s="89" t="n"/>
    </row>
    <row r="10" ht="21.75" customHeight="1" s="81">
      <c r="A10" s="166" t="inlineStr">
        <is>
          <t>Bénin</t>
        </is>
      </c>
      <c r="B10" s="167" t="inlineStr">
        <is>
          <t>BJ</t>
        </is>
      </c>
      <c r="C10" s="166" t="inlineStr">
        <is>
          <t>Bonou</t>
        </is>
      </c>
      <c r="D10" s="179" t="inlineStr">
        <is>
          <t>Aw</t>
        </is>
      </c>
      <c r="E10" s="174" t="inlineStr">
        <is>
          <t>Ouémé</t>
        </is>
      </c>
      <c r="F10" s="175" t="n">
        <v>23</v>
      </c>
      <c r="G10" s="175" t="n">
        <v>34</v>
      </c>
      <c r="H10" s="176" t="n">
        <v>28</v>
      </c>
      <c r="I10" s="175" t="n">
        <v>76</v>
      </c>
      <c r="J10" s="176" t="n">
        <v>5.4</v>
      </c>
      <c r="K10" s="175" t="n">
        <v>11</v>
      </c>
      <c r="L10" s="172" t="n">
        <v>26.1</v>
      </c>
      <c r="M10" s="177" t="inlineStr">
        <is>
          <t>DMN Bénin analogie</t>
        </is>
      </c>
      <c r="N10" s="94" t="n"/>
      <c r="O10" s="95" t="n"/>
      <c r="P10" s="94" t="n"/>
    </row>
    <row r="11" ht="21.75" customHeight="1" s="81">
      <c r="A11" s="166" t="inlineStr">
        <is>
          <t>Bénin</t>
        </is>
      </c>
      <c r="B11" s="167" t="inlineStr">
        <is>
          <t>BJ</t>
        </is>
      </c>
      <c r="C11" s="166" t="inlineStr">
        <is>
          <t>Dangbo</t>
        </is>
      </c>
      <c r="D11" s="168" t="inlineStr">
        <is>
          <t>Am</t>
        </is>
      </c>
      <c r="E11" s="178" t="inlineStr">
        <is>
          <t>Ouémé</t>
        </is>
      </c>
      <c r="F11" s="170" t="n">
        <v>24</v>
      </c>
      <c r="G11" s="170" t="n">
        <v>33</v>
      </c>
      <c r="H11" s="171" t="n">
        <v>28</v>
      </c>
      <c r="I11" s="170" t="n">
        <v>78</v>
      </c>
      <c r="J11" s="171" t="n">
        <v>5.3</v>
      </c>
      <c r="K11" s="170" t="n">
        <v>9</v>
      </c>
      <c r="L11" s="172" t="n">
        <v>26.1</v>
      </c>
      <c r="M11" s="173" t="inlineStr">
        <is>
          <t>climate-data.org + DMN</t>
        </is>
      </c>
      <c r="N11" s="89" t="n"/>
      <c r="O11" s="90" t="n"/>
      <c r="P11" s="89" t="n"/>
    </row>
    <row r="12" ht="21.75" customHeight="1" s="81">
      <c r="A12" s="166" t="inlineStr">
        <is>
          <t>Bénin</t>
        </is>
      </c>
      <c r="B12" s="167" t="inlineStr">
        <is>
          <t>BJ</t>
        </is>
      </c>
      <c r="C12" s="166" t="inlineStr">
        <is>
          <t>Missérété</t>
        </is>
      </c>
      <c r="D12" s="168" t="inlineStr">
        <is>
          <t>Am</t>
        </is>
      </c>
      <c r="E12" s="174" t="inlineStr">
        <is>
          <t>Ouémé</t>
        </is>
      </c>
      <c r="F12" s="175" t="n">
        <v>24</v>
      </c>
      <c r="G12" s="175" t="n">
        <v>33</v>
      </c>
      <c r="H12" s="176" t="n">
        <v>28</v>
      </c>
      <c r="I12" s="175" t="n">
        <v>79</v>
      </c>
      <c r="J12" s="176" t="n">
        <v>5.3</v>
      </c>
      <c r="K12" s="175" t="n">
        <v>9</v>
      </c>
      <c r="L12" s="172" t="n">
        <v>26.1</v>
      </c>
      <c r="M12" s="177" t="inlineStr">
        <is>
          <t>DMN Bénin analogie Porto-Novo</t>
        </is>
      </c>
      <c r="N12" s="94" t="n"/>
      <c r="O12" s="95" t="n"/>
      <c r="P12" s="94" t="n"/>
    </row>
    <row r="13" ht="21.75" customHeight="1" s="81">
      <c r="A13" s="166" t="inlineStr">
        <is>
          <t>Bénin</t>
        </is>
      </c>
      <c r="B13" s="167" t="inlineStr">
        <is>
          <t>BJ</t>
        </is>
      </c>
      <c r="C13" s="166" t="inlineStr">
        <is>
          <t>Sèmè-Podji</t>
        </is>
      </c>
      <c r="D13" s="168" t="inlineStr">
        <is>
          <t>Am</t>
        </is>
      </c>
      <c r="E13" s="178" t="inlineStr">
        <is>
          <t>Ouémé</t>
        </is>
      </c>
      <c r="F13" s="170" t="n">
        <v>24</v>
      </c>
      <c r="G13" s="170" t="n">
        <v>33</v>
      </c>
      <c r="H13" s="171" t="n">
        <v>28</v>
      </c>
      <c r="I13" s="170" t="n">
        <v>81</v>
      </c>
      <c r="J13" s="171" t="n">
        <v>5.2</v>
      </c>
      <c r="K13" s="170" t="n">
        <v>9</v>
      </c>
      <c r="L13" s="172" t="n">
        <v>26.1</v>
      </c>
      <c r="M13" s="173" t="inlineStr">
        <is>
          <t>DMN Bénin + analogie côtier</t>
        </is>
      </c>
      <c r="N13" s="89" t="n"/>
      <c r="O13" s="90" t="n"/>
      <c r="P13" s="89" t="n"/>
    </row>
    <row r="14" ht="21.75" customHeight="1" s="81">
      <c r="A14" s="166" t="inlineStr">
        <is>
          <t>Bénin</t>
        </is>
      </c>
      <c r="B14" s="167" t="inlineStr">
        <is>
          <t>BJ</t>
        </is>
      </c>
      <c r="C14" s="166" t="inlineStr">
        <is>
          <t>Aguégués</t>
        </is>
      </c>
      <c r="D14" s="168" t="inlineStr">
        <is>
          <t>Am</t>
        </is>
      </c>
      <c r="E14" s="174" t="inlineStr">
        <is>
          <t>Ouémé</t>
        </is>
      </c>
      <c r="F14" s="175" t="n">
        <v>24</v>
      </c>
      <c r="G14" s="175" t="n">
        <v>33</v>
      </c>
      <c r="H14" s="176" t="n">
        <v>28</v>
      </c>
      <c r="I14" s="175" t="n">
        <v>82</v>
      </c>
      <c r="J14" s="176" t="n">
        <v>5.2</v>
      </c>
      <c r="K14" s="175" t="n">
        <v>9</v>
      </c>
      <c r="L14" s="172" t="n">
        <v>26.1</v>
      </c>
      <c r="M14" s="177" t="inlineStr">
        <is>
          <t>DMN Bénin — zone lacustre</t>
        </is>
      </c>
      <c r="N14" s="94" t="n"/>
      <c r="O14" s="95" t="n"/>
      <c r="P14" s="94" t="n"/>
    </row>
    <row r="15" ht="21.75" customHeight="1" s="81">
      <c r="A15" s="166" t="inlineStr">
        <is>
          <t>Bénin</t>
        </is>
      </c>
      <c r="B15" s="167" t="inlineStr">
        <is>
          <t>BJ</t>
        </is>
      </c>
      <c r="C15" s="166" t="inlineStr">
        <is>
          <t>Abomey-Calavi</t>
        </is>
      </c>
      <c r="D15" s="168" t="inlineStr">
        <is>
          <t>Am</t>
        </is>
      </c>
      <c r="E15" s="180" t="inlineStr">
        <is>
          <t>Atlantique</t>
        </is>
      </c>
      <c r="F15" s="170" t="n">
        <v>24</v>
      </c>
      <c r="G15" s="170" t="n">
        <v>33</v>
      </c>
      <c r="H15" s="171" t="n">
        <v>28</v>
      </c>
      <c r="I15" s="170" t="n">
        <v>81</v>
      </c>
      <c r="J15" s="171" t="n">
        <v>5.2</v>
      </c>
      <c r="K15" s="170" t="n">
        <v>9</v>
      </c>
      <c r="L15" s="172" t="n">
        <v>26.1</v>
      </c>
      <c r="M15" s="173" t="inlineStr">
        <is>
          <t>DMN Bénin — UAC</t>
        </is>
      </c>
      <c r="N15" s="89" t="n"/>
      <c r="O15" s="90" t="n"/>
      <c r="P15" s="89" t="n"/>
    </row>
    <row r="16" ht="21.75" customHeight="1" s="81">
      <c r="A16" s="166" t="inlineStr">
        <is>
          <t>Bénin</t>
        </is>
      </c>
      <c r="B16" s="167" t="inlineStr">
        <is>
          <t>BJ</t>
        </is>
      </c>
      <c r="C16" s="166" t="inlineStr">
        <is>
          <t>Allada</t>
        </is>
      </c>
      <c r="D16" s="179" t="inlineStr">
        <is>
          <t>Aw</t>
        </is>
      </c>
      <c r="E16" s="181" t="inlineStr">
        <is>
          <t>Atlantique</t>
        </is>
      </c>
      <c r="F16" s="175" t="n">
        <v>23</v>
      </c>
      <c r="G16" s="175" t="n">
        <v>34</v>
      </c>
      <c r="H16" s="176" t="n">
        <v>28</v>
      </c>
      <c r="I16" s="175" t="n">
        <v>76</v>
      </c>
      <c r="J16" s="176" t="n">
        <v>5.4</v>
      </c>
      <c r="K16" s="175" t="n">
        <v>11</v>
      </c>
      <c r="L16" s="172" t="n">
        <v>26.1</v>
      </c>
      <c r="M16" s="177" t="inlineStr">
        <is>
          <t>DMN Bénin + climate-data.org</t>
        </is>
      </c>
      <c r="N16" s="94" t="n"/>
      <c r="O16" s="95" t="n"/>
      <c r="P16" s="94" t="n"/>
    </row>
    <row r="17" ht="21.75" customHeight="1" s="81">
      <c r="A17" s="166" t="inlineStr">
        <is>
          <t>Bénin</t>
        </is>
      </c>
      <c r="B17" s="167" t="inlineStr">
        <is>
          <t>BJ</t>
        </is>
      </c>
      <c r="C17" s="166" t="inlineStr">
        <is>
          <t>Kpomassè</t>
        </is>
      </c>
      <c r="D17" s="179" t="inlineStr">
        <is>
          <t>Aw</t>
        </is>
      </c>
      <c r="E17" s="180" t="inlineStr">
        <is>
          <t>Atlantique</t>
        </is>
      </c>
      <c r="F17" s="170" t="n">
        <v>23</v>
      </c>
      <c r="G17" s="170" t="n">
        <v>34</v>
      </c>
      <c r="H17" s="171" t="n">
        <v>28</v>
      </c>
      <c r="I17" s="170" t="n">
        <v>76</v>
      </c>
      <c r="J17" s="171" t="n">
        <v>5.4</v>
      </c>
      <c r="K17" s="170" t="n">
        <v>11</v>
      </c>
      <c r="L17" s="172" t="n">
        <v>26.1</v>
      </c>
      <c r="M17" s="173" t="inlineStr">
        <is>
          <t>DMN Bénin analogie Allada</t>
        </is>
      </c>
      <c r="N17" s="89" t="n"/>
      <c r="O17" s="90" t="n"/>
      <c r="P17" s="89" t="n"/>
    </row>
    <row r="18" ht="21.75" customHeight="1" s="81">
      <c r="A18" s="166" t="inlineStr">
        <is>
          <t>Bénin</t>
        </is>
      </c>
      <c r="B18" s="167" t="inlineStr">
        <is>
          <t>BJ</t>
        </is>
      </c>
      <c r="C18" s="166" t="inlineStr">
        <is>
          <t>Ouidah</t>
        </is>
      </c>
      <c r="D18" s="168" t="inlineStr">
        <is>
          <t>Am</t>
        </is>
      </c>
      <c r="E18" s="181" t="inlineStr">
        <is>
          <t>Atlantique</t>
        </is>
      </c>
      <c r="F18" s="175" t="n">
        <v>24</v>
      </c>
      <c r="G18" s="175" t="n">
        <v>33</v>
      </c>
      <c r="H18" s="176" t="n">
        <v>28</v>
      </c>
      <c r="I18" s="175" t="n">
        <v>80</v>
      </c>
      <c r="J18" s="176" t="n">
        <v>5.3</v>
      </c>
      <c r="K18" s="175" t="n">
        <v>9</v>
      </c>
      <c r="L18" s="172" t="n">
        <v>26.1</v>
      </c>
      <c r="M18" s="177" t="inlineStr">
        <is>
          <t>DMN Bénin — ville côtière</t>
        </is>
      </c>
      <c r="N18" s="94" t="n"/>
      <c r="O18" s="95" t="n"/>
      <c r="P18" s="94" t="n"/>
    </row>
    <row r="19" ht="21.75" customHeight="1" s="81">
      <c r="A19" s="166" t="inlineStr">
        <is>
          <t>Bénin</t>
        </is>
      </c>
      <c r="B19" s="167" t="inlineStr">
        <is>
          <t>BJ</t>
        </is>
      </c>
      <c r="C19" s="166" t="inlineStr">
        <is>
          <t>Sô-Ava</t>
        </is>
      </c>
      <c r="D19" s="168" t="inlineStr">
        <is>
          <t>Am</t>
        </is>
      </c>
      <c r="E19" s="180" t="inlineStr">
        <is>
          <t>Atlantique</t>
        </is>
      </c>
      <c r="F19" s="170" t="n">
        <v>24</v>
      </c>
      <c r="G19" s="170" t="n">
        <v>33</v>
      </c>
      <c r="H19" s="171" t="n">
        <v>28</v>
      </c>
      <c r="I19" s="170" t="n">
        <v>82</v>
      </c>
      <c r="J19" s="171" t="n">
        <v>5.2</v>
      </c>
      <c r="K19" s="170" t="n">
        <v>9</v>
      </c>
      <c r="L19" s="172" t="n">
        <v>26.1</v>
      </c>
      <c r="M19" s="173" t="inlineStr">
        <is>
          <t>DMN Bénin — zone lacustre</t>
        </is>
      </c>
      <c r="N19" s="89" t="n"/>
      <c r="O19" s="90" t="n"/>
      <c r="P19" s="89" t="n"/>
    </row>
    <row r="20" ht="21.75" customHeight="1" s="81">
      <c r="A20" s="166" t="inlineStr">
        <is>
          <t>Bénin</t>
        </is>
      </c>
      <c r="B20" s="167" t="inlineStr">
        <is>
          <t>BJ</t>
        </is>
      </c>
      <c r="C20" s="166" t="inlineStr">
        <is>
          <t>Toffo</t>
        </is>
      </c>
      <c r="D20" s="179" t="inlineStr">
        <is>
          <t>Aw</t>
        </is>
      </c>
      <c r="E20" s="181" t="inlineStr">
        <is>
          <t>Atlantique</t>
        </is>
      </c>
      <c r="F20" s="175" t="n">
        <v>23</v>
      </c>
      <c r="G20" s="175" t="n">
        <v>34</v>
      </c>
      <c r="H20" s="176" t="n">
        <v>28</v>
      </c>
      <c r="I20" s="175" t="n">
        <v>75</v>
      </c>
      <c r="J20" s="176" t="n">
        <v>5.4</v>
      </c>
      <c r="K20" s="175" t="n">
        <v>11</v>
      </c>
      <c r="L20" s="172" t="n">
        <v>26.1</v>
      </c>
      <c r="M20" s="177" t="inlineStr">
        <is>
          <t>DMN Bénin + climate-data.org</t>
        </is>
      </c>
      <c r="N20" s="94" t="n"/>
      <c r="O20" s="95" t="n"/>
      <c r="P20" s="94" t="n"/>
    </row>
    <row r="21" ht="21.75" customHeight="1" s="81">
      <c r="A21" s="166" t="inlineStr">
        <is>
          <t>Bénin</t>
        </is>
      </c>
      <c r="B21" s="167" t="inlineStr">
        <is>
          <t>BJ</t>
        </is>
      </c>
      <c r="C21" s="166" t="inlineStr">
        <is>
          <t>Tori-Bossito</t>
        </is>
      </c>
      <c r="D21" s="179" t="inlineStr">
        <is>
          <t>Aw</t>
        </is>
      </c>
      <c r="E21" s="180" t="inlineStr">
        <is>
          <t>Atlantique</t>
        </is>
      </c>
      <c r="F21" s="170" t="n">
        <v>23</v>
      </c>
      <c r="G21" s="170" t="n">
        <v>34</v>
      </c>
      <c r="H21" s="171" t="n">
        <v>28</v>
      </c>
      <c r="I21" s="170" t="n">
        <v>76</v>
      </c>
      <c r="J21" s="171" t="n">
        <v>5.4</v>
      </c>
      <c r="K21" s="170" t="n">
        <v>11</v>
      </c>
      <c r="L21" s="172" t="n">
        <v>26.1</v>
      </c>
      <c r="M21" s="173" t="inlineStr">
        <is>
          <t>DMN Bénin analogie Allada</t>
        </is>
      </c>
      <c r="N21" s="89" t="n"/>
      <c r="O21" s="90" t="n"/>
      <c r="P21" s="89" t="n"/>
    </row>
    <row r="22" ht="21.75" customHeight="1" s="81">
      <c r="A22" s="166" t="inlineStr">
        <is>
          <t>Bénin</t>
        </is>
      </c>
      <c r="B22" s="167" t="inlineStr">
        <is>
          <t>BJ</t>
        </is>
      </c>
      <c r="C22" s="166" t="inlineStr">
        <is>
          <t>Zè</t>
        </is>
      </c>
      <c r="D22" s="179" t="inlineStr">
        <is>
          <t>Aw</t>
        </is>
      </c>
      <c r="E22" s="181" t="inlineStr">
        <is>
          <t>Atlantique</t>
        </is>
      </c>
      <c r="F22" s="175" t="n">
        <v>23</v>
      </c>
      <c r="G22" s="175" t="n">
        <v>34</v>
      </c>
      <c r="H22" s="176" t="n">
        <v>28</v>
      </c>
      <c r="I22" s="175" t="n">
        <v>75</v>
      </c>
      <c r="J22" s="176" t="n">
        <v>5.5</v>
      </c>
      <c r="K22" s="175" t="n">
        <v>11</v>
      </c>
      <c r="L22" s="172" t="n">
        <v>26.1</v>
      </c>
      <c r="M22" s="177" t="inlineStr">
        <is>
          <t>DMN Bénin + climate-data.org</t>
        </is>
      </c>
      <c r="N22" s="94" t="n"/>
      <c r="O22" s="95" t="n"/>
      <c r="P22" s="94" t="n"/>
    </row>
    <row r="23" ht="21.75" customHeight="1" s="81">
      <c r="A23" s="166" t="inlineStr">
        <is>
          <t>Bénin</t>
        </is>
      </c>
      <c r="B23" s="167" t="inlineStr">
        <is>
          <t>BJ</t>
        </is>
      </c>
      <c r="C23" s="166" t="inlineStr">
        <is>
          <t>Lokossa</t>
        </is>
      </c>
      <c r="D23" s="179" t="inlineStr">
        <is>
          <t>Aw</t>
        </is>
      </c>
      <c r="E23" s="182" t="inlineStr">
        <is>
          <t>Mono</t>
        </is>
      </c>
      <c r="F23" s="170" t="n">
        <v>24</v>
      </c>
      <c r="G23" s="170" t="n">
        <v>34</v>
      </c>
      <c r="H23" s="171" t="n">
        <v>28</v>
      </c>
      <c r="I23" s="170" t="n">
        <v>75</v>
      </c>
      <c r="J23" s="171" t="n">
        <v>5.4</v>
      </c>
      <c r="K23" s="170" t="n">
        <v>10</v>
      </c>
      <c r="L23" s="172" t="n">
        <v>26.1</v>
      </c>
      <c r="M23" s="173" t="inlineStr">
        <is>
          <t>DMN Bénin</t>
        </is>
      </c>
      <c r="N23" s="89" t="n"/>
      <c r="O23" s="90" t="n"/>
      <c r="P23" s="89" t="n"/>
    </row>
    <row r="24" ht="21.75" customHeight="1" s="81">
      <c r="A24" s="166" t="inlineStr">
        <is>
          <t>Bénin</t>
        </is>
      </c>
      <c r="B24" s="167" t="inlineStr">
        <is>
          <t>BJ</t>
        </is>
      </c>
      <c r="C24" s="166" t="inlineStr">
        <is>
          <t>Athiémé</t>
        </is>
      </c>
      <c r="D24" s="179" t="inlineStr">
        <is>
          <t>Aw</t>
        </is>
      </c>
      <c r="E24" s="183" t="inlineStr">
        <is>
          <t>Mono</t>
        </is>
      </c>
      <c r="F24" s="175" t="n">
        <v>23</v>
      </c>
      <c r="G24" s="175" t="n">
        <v>34</v>
      </c>
      <c r="H24" s="176" t="n">
        <v>28</v>
      </c>
      <c r="I24" s="175" t="n">
        <v>74</v>
      </c>
      <c r="J24" s="176" t="n">
        <v>5.4</v>
      </c>
      <c r="K24" s="175" t="n">
        <v>11</v>
      </c>
      <c r="L24" s="172" t="n">
        <v>26.1</v>
      </c>
      <c r="M24" s="177" t="inlineStr">
        <is>
          <t>DMN Bénin + climate-data.org</t>
        </is>
      </c>
      <c r="N24" s="94" t="n"/>
      <c r="O24" s="95" t="n"/>
      <c r="P24" s="94" t="n"/>
    </row>
    <row r="25" ht="21.75" customHeight="1" s="81">
      <c r="A25" s="166" t="inlineStr">
        <is>
          <t>Bénin</t>
        </is>
      </c>
      <c r="B25" s="167" t="inlineStr">
        <is>
          <t>BJ</t>
        </is>
      </c>
      <c r="C25" s="166" t="inlineStr">
        <is>
          <t>Bopa</t>
        </is>
      </c>
      <c r="D25" s="179" t="inlineStr">
        <is>
          <t>Aw</t>
        </is>
      </c>
      <c r="E25" s="182" t="inlineStr">
        <is>
          <t>Mono</t>
        </is>
      </c>
      <c r="F25" s="170" t="n">
        <v>23</v>
      </c>
      <c r="G25" s="170" t="n">
        <v>34</v>
      </c>
      <c r="H25" s="171" t="n">
        <v>28</v>
      </c>
      <c r="I25" s="170" t="n">
        <v>74</v>
      </c>
      <c r="J25" s="171" t="n">
        <v>5.5</v>
      </c>
      <c r="K25" s="170" t="n">
        <v>11</v>
      </c>
      <c r="L25" s="172" t="n">
        <v>26.1</v>
      </c>
      <c r="M25" s="173" t="inlineStr">
        <is>
          <t>DMN Bénin analogie Lokossa</t>
        </is>
      </c>
      <c r="N25" s="89" t="n"/>
      <c r="O25" s="90" t="n"/>
      <c r="P25" s="89" t="n"/>
    </row>
    <row r="26" ht="21.75" customHeight="1" s="81">
      <c r="A26" s="166" t="inlineStr">
        <is>
          <t>Bénin</t>
        </is>
      </c>
      <c r="B26" s="167" t="inlineStr">
        <is>
          <t>BJ</t>
        </is>
      </c>
      <c r="C26" s="166" t="inlineStr">
        <is>
          <t>Comè</t>
        </is>
      </c>
      <c r="D26" s="179" t="inlineStr">
        <is>
          <t>Aw</t>
        </is>
      </c>
      <c r="E26" s="183" t="inlineStr">
        <is>
          <t>Mono</t>
        </is>
      </c>
      <c r="F26" s="175" t="n">
        <v>23</v>
      </c>
      <c r="G26" s="175" t="n">
        <v>34</v>
      </c>
      <c r="H26" s="176" t="n">
        <v>28</v>
      </c>
      <c r="I26" s="175" t="n">
        <v>74</v>
      </c>
      <c r="J26" s="176" t="n">
        <v>5.4</v>
      </c>
      <c r="K26" s="175" t="n">
        <v>11</v>
      </c>
      <c r="L26" s="172" t="n">
        <v>26.1</v>
      </c>
      <c r="M26" s="177" t="inlineStr">
        <is>
          <t>DMN Bénin + climate-data.org</t>
        </is>
      </c>
      <c r="N26" s="94" t="n"/>
      <c r="O26" s="95" t="n"/>
      <c r="P26" s="94" t="n"/>
    </row>
    <row r="27" ht="21.75" customHeight="1" s="81">
      <c r="A27" s="166" t="inlineStr">
        <is>
          <t>Bénin</t>
        </is>
      </c>
      <c r="B27" s="167" t="inlineStr">
        <is>
          <t>BJ</t>
        </is>
      </c>
      <c r="C27" s="166" t="inlineStr">
        <is>
          <t>Grand-Popo</t>
        </is>
      </c>
      <c r="D27" s="168" t="inlineStr">
        <is>
          <t>Am</t>
        </is>
      </c>
      <c r="E27" s="182" t="inlineStr">
        <is>
          <t>Mono</t>
        </is>
      </c>
      <c r="F27" s="170" t="n">
        <v>24</v>
      </c>
      <c r="G27" s="170" t="n">
        <v>33</v>
      </c>
      <c r="H27" s="171" t="n">
        <v>28</v>
      </c>
      <c r="I27" s="170" t="n">
        <v>79</v>
      </c>
      <c r="J27" s="171" t="n">
        <v>5.3</v>
      </c>
      <c r="K27" s="170" t="n">
        <v>9</v>
      </c>
      <c r="L27" s="172" t="n">
        <v>26.1</v>
      </c>
      <c r="M27" s="173" t="inlineStr">
        <is>
          <t>DMN Bénin — zone côtière</t>
        </is>
      </c>
      <c r="N27" s="89" t="n"/>
      <c r="O27" s="90" t="n"/>
      <c r="P27" s="89" t="n"/>
    </row>
    <row r="28" ht="21.75" customHeight="1" s="81">
      <c r="A28" s="166" t="inlineStr">
        <is>
          <t>Bénin</t>
        </is>
      </c>
      <c r="B28" s="167" t="inlineStr">
        <is>
          <t>BJ</t>
        </is>
      </c>
      <c r="C28" s="166" t="inlineStr">
        <is>
          <t>Houéyogbé</t>
        </is>
      </c>
      <c r="D28" s="179" t="inlineStr">
        <is>
          <t>Aw</t>
        </is>
      </c>
      <c r="E28" s="183" t="inlineStr">
        <is>
          <t>Mono</t>
        </is>
      </c>
      <c r="F28" s="175" t="n">
        <v>23</v>
      </c>
      <c r="G28" s="175" t="n">
        <v>34</v>
      </c>
      <c r="H28" s="176" t="n">
        <v>28</v>
      </c>
      <c r="I28" s="175" t="n">
        <v>73</v>
      </c>
      <c r="J28" s="176" t="n">
        <v>5.5</v>
      </c>
      <c r="K28" s="175" t="n">
        <v>11</v>
      </c>
      <c r="L28" s="172" t="n">
        <v>26.1</v>
      </c>
      <c r="M28" s="177" t="inlineStr">
        <is>
          <t>DMN Bénin analogie Lokossa</t>
        </is>
      </c>
      <c r="N28" s="94" t="n"/>
      <c r="O28" s="95" t="n"/>
      <c r="P28" s="94" t="n"/>
    </row>
    <row r="29" ht="21.75" customHeight="1" s="81">
      <c r="A29" s="166" t="inlineStr">
        <is>
          <t>Bénin</t>
        </is>
      </c>
      <c r="B29" s="167" t="inlineStr">
        <is>
          <t>BJ</t>
        </is>
      </c>
      <c r="C29" s="166" t="inlineStr">
        <is>
          <t>Aplahoué</t>
        </is>
      </c>
      <c r="D29" s="179" t="inlineStr">
        <is>
          <t>Aw</t>
        </is>
      </c>
      <c r="E29" s="184" t="inlineStr">
        <is>
          <t>Couffo</t>
        </is>
      </c>
      <c r="F29" s="170" t="n">
        <v>23</v>
      </c>
      <c r="G29" s="170" t="n">
        <v>35</v>
      </c>
      <c r="H29" s="171" t="n">
        <v>28</v>
      </c>
      <c r="I29" s="170" t="n">
        <v>72</v>
      </c>
      <c r="J29" s="171" t="n">
        <v>5.5</v>
      </c>
      <c r="K29" s="170" t="n">
        <v>12</v>
      </c>
      <c r="L29" s="172" t="n">
        <v>26.1</v>
      </c>
      <c r="M29" s="173" t="inlineStr">
        <is>
          <t>DMN Bénin + climate-data.org</t>
        </is>
      </c>
      <c r="N29" s="89" t="n"/>
      <c r="O29" s="90" t="n"/>
      <c r="P29" s="89" t="n"/>
    </row>
    <row r="30" ht="21.75" customHeight="1" s="81">
      <c r="A30" s="166" t="inlineStr">
        <is>
          <t>Bénin</t>
        </is>
      </c>
      <c r="B30" s="167" t="inlineStr">
        <is>
          <t>BJ</t>
        </is>
      </c>
      <c r="C30" s="166" t="inlineStr">
        <is>
          <t>Djakotomey</t>
        </is>
      </c>
      <c r="D30" s="179" t="inlineStr">
        <is>
          <t>Aw</t>
        </is>
      </c>
      <c r="E30" s="185" t="inlineStr">
        <is>
          <t>Couffo</t>
        </is>
      </c>
      <c r="F30" s="175" t="n">
        <v>23</v>
      </c>
      <c r="G30" s="175" t="n">
        <v>35</v>
      </c>
      <c r="H30" s="176" t="n">
        <v>28</v>
      </c>
      <c r="I30" s="175" t="n">
        <v>72</v>
      </c>
      <c r="J30" s="176" t="n">
        <v>5.5</v>
      </c>
      <c r="K30" s="175" t="n">
        <v>12</v>
      </c>
      <c r="L30" s="172" t="n">
        <v>26.1</v>
      </c>
      <c r="M30" s="177" t="inlineStr">
        <is>
          <t>DMN Bénin analogie Aplahoué</t>
        </is>
      </c>
      <c r="N30" s="94" t="n"/>
      <c r="O30" s="95" t="n"/>
      <c r="P30" s="94" t="n"/>
    </row>
    <row r="31" ht="21.75" customHeight="1" s="81">
      <c r="A31" s="166" t="inlineStr">
        <is>
          <t>Bénin</t>
        </is>
      </c>
      <c r="B31" s="167" t="inlineStr">
        <is>
          <t>BJ</t>
        </is>
      </c>
      <c r="C31" s="166" t="inlineStr">
        <is>
          <t>Dogbo</t>
        </is>
      </c>
      <c r="D31" s="179" t="inlineStr">
        <is>
          <t>Aw</t>
        </is>
      </c>
      <c r="E31" s="184" t="inlineStr">
        <is>
          <t>Couffo</t>
        </is>
      </c>
      <c r="F31" s="170" t="n">
        <v>23</v>
      </c>
      <c r="G31" s="170" t="n">
        <v>35</v>
      </c>
      <c r="H31" s="171" t="n">
        <v>28</v>
      </c>
      <c r="I31" s="170" t="n">
        <v>72</v>
      </c>
      <c r="J31" s="171" t="n">
        <v>5.5</v>
      </c>
      <c r="K31" s="170" t="n">
        <v>12</v>
      </c>
      <c r="L31" s="172" t="n">
        <v>26.1</v>
      </c>
      <c r="M31" s="173" t="inlineStr">
        <is>
          <t>DMN Bénin + climate-data.org</t>
        </is>
      </c>
      <c r="N31" s="89" t="n"/>
      <c r="O31" s="90" t="n"/>
      <c r="P31" s="89" t="n"/>
    </row>
    <row r="32" ht="21.75" customHeight="1" s="81">
      <c r="A32" s="166" t="inlineStr">
        <is>
          <t>Bénin</t>
        </is>
      </c>
      <c r="B32" s="167" t="inlineStr">
        <is>
          <t>BJ</t>
        </is>
      </c>
      <c r="C32" s="166" t="inlineStr">
        <is>
          <t>Klouékanmè</t>
        </is>
      </c>
      <c r="D32" s="179" t="inlineStr">
        <is>
          <t>Aw</t>
        </is>
      </c>
      <c r="E32" s="185" t="inlineStr">
        <is>
          <t>Couffo</t>
        </is>
      </c>
      <c r="F32" s="175" t="n">
        <v>23</v>
      </c>
      <c r="G32" s="175" t="n">
        <v>35</v>
      </c>
      <c r="H32" s="176" t="n">
        <v>28</v>
      </c>
      <c r="I32" s="175" t="n">
        <v>72</v>
      </c>
      <c r="J32" s="176" t="n">
        <v>5.5</v>
      </c>
      <c r="K32" s="175" t="n">
        <v>12</v>
      </c>
      <c r="L32" s="172" t="n">
        <v>26.1</v>
      </c>
      <c r="M32" s="177" t="inlineStr">
        <is>
          <t>DMN Bénin analogie Aplahoué</t>
        </is>
      </c>
      <c r="N32" s="94" t="n"/>
      <c r="O32" s="95" t="n"/>
      <c r="P32" s="94" t="n"/>
    </row>
    <row r="33" ht="21.75" customHeight="1" s="81">
      <c r="A33" s="166" t="inlineStr">
        <is>
          <t>Bénin</t>
        </is>
      </c>
      <c r="B33" s="167" t="inlineStr">
        <is>
          <t>BJ</t>
        </is>
      </c>
      <c r="C33" s="166" t="inlineStr">
        <is>
          <t>Lalo</t>
        </is>
      </c>
      <c r="D33" s="179" t="inlineStr">
        <is>
          <t>Aw</t>
        </is>
      </c>
      <c r="E33" s="184" t="inlineStr">
        <is>
          <t>Couffo</t>
        </is>
      </c>
      <c r="F33" s="170" t="n">
        <v>23</v>
      </c>
      <c r="G33" s="170" t="n">
        <v>35</v>
      </c>
      <c r="H33" s="171" t="n">
        <v>28</v>
      </c>
      <c r="I33" s="170" t="n">
        <v>73</v>
      </c>
      <c r="J33" s="171" t="n">
        <v>5.5</v>
      </c>
      <c r="K33" s="170" t="n">
        <v>12</v>
      </c>
      <c r="L33" s="172" t="n">
        <v>26.1</v>
      </c>
      <c r="M33" s="173" t="inlineStr">
        <is>
          <t>DMN Bénin + climate-data.org</t>
        </is>
      </c>
      <c r="N33" s="89" t="n"/>
      <c r="O33" s="90" t="n"/>
      <c r="P33" s="89" t="n"/>
    </row>
    <row r="34" ht="21.75" customHeight="1" s="81">
      <c r="A34" s="166" t="inlineStr">
        <is>
          <t>Bénin</t>
        </is>
      </c>
      <c r="B34" s="167" t="inlineStr">
        <is>
          <t>BJ</t>
        </is>
      </c>
      <c r="C34" s="166" t="inlineStr">
        <is>
          <t>Toviklin</t>
        </is>
      </c>
      <c r="D34" s="179" t="inlineStr">
        <is>
          <t>Aw</t>
        </is>
      </c>
      <c r="E34" s="185" t="inlineStr">
        <is>
          <t>Couffo</t>
        </is>
      </c>
      <c r="F34" s="175" t="n">
        <v>23</v>
      </c>
      <c r="G34" s="175" t="n">
        <v>35</v>
      </c>
      <c r="H34" s="176" t="n">
        <v>28</v>
      </c>
      <c r="I34" s="175" t="n">
        <v>72</v>
      </c>
      <c r="J34" s="176" t="n">
        <v>5.5</v>
      </c>
      <c r="K34" s="175" t="n">
        <v>12</v>
      </c>
      <c r="L34" s="172" t="n">
        <v>26.1</v>
      </c>
      <c r="M34" s="177" t="inlineStr">
        <is>
          <t>DMN Bénin analogie Aplahoué</t>
        </is>
      </c>
      <c r="N34" s="94" t="n"/>
      <c r="O34" s="95" t="n"/>
      <c r="P34" s="94" t="n"/>
    </row>
    <row r="35" ht="21.75" customHeight="1" s="81">
      <c r="A35" s="166" t="inlineStr">
        <is>
          <t>Bénin</t>
        </is>
      </c>
      <c r="B35" s="167" t="inlineStr">
        <is>
          <t>BJ</t>
        </is>
      </c>
      <c r="C35" s="166" t="inlineStr">
        <is>
          <t>Abomey</t>
        </is>
      </c>
      <c r="D35" s="179" t="inlineStr">
        <is>
          <t>Aw</t>
        </is>
      </c>
      <c r="E35" s="186" t="inlineStr">
        <is>
          <t>Zou</t>
        </is>
      </c>
      <c r="F35" s="170" t="n">
        <v>23</v>
      </c>
      <c r="G35" s="170" t="n">
        <v>35</v>
      </c>
      <c r="H35" s="171" t="n">
        <v>28</v>
      </c>
      <c r="I35" s="170" t="n">
        <v>70</v>
      </c>
      <c r="J35" s="171" t="n">
        <v>5.5</v>
      </c>
      <c r="K35" s="170" t="n">
        <v>12</v>
      </c>
      <c r="L35" s="172" t="n">
        <v>26.1</v>
      </c>
      <c r="M35" s="173" t="inlineStr">
        <is>
          <t>DMN Bénin + climate-data.org</t>
        </is>
      </c>
      <c r="N35" s="89" t="n"/>
      <c r="O35" s="90" t="n"/>
      <c r="P35" s="89" t="n"/>
    </row>
    <row r="36" ht="21.75" customHeight="1" s="81">
      <c r="A36" s="166" t="inlineStr">
        <is>
          <t>Bénin</t>
        </is>
      </c>
      <c r="B36" s="167" t="inlineStr">
        <is>
          <t>BJ</t>
        </is>
      </c>
      <c r="C36" s="166" t="inlineStr">
        <is>
          <t>Agbangnizoun</t>
        </is>
      </c>
      <c r="D36" s="179" t="inlineStr">
        <is>
          <t>Aw</t>
        </is>
      </c>
      <c r="E36" s="187" t="inlineStr">
        <is>
          <t>Zou</t>
        </is>
      </c>
      <c r="F36" s="175" t="n">
        <v>23</v>
      </c>
      <c r="G36" s="175" t="n">
        <v>35</v>
      </c>
      <c r="H36" s="176" t="n">
        <v>28</v>
      </c>
      <c r="I36" s="175" t="n">
        <v>70</v>
      </c>
      <c r="J36" s="176" t="n">
        <v>5.5</v>
      </c>
      <c r="K36" s="175" t="n">
        <v>12</v>
      </c>
      <c r="L36" s="172" t="n">
        <v>26.1</v>
      </c>
      <c r="M36" s="177" t="inlineStr">
        <is>
          <t>DMN Bénin analogie Abomey</t>
        </is>
      </c>
      <c r="N36" s="94" t="n"/>
      <c r="O36" s="95" t="n"/>
      <c r="P36" s="94" t="n"/>
    </row>
    <row r="37" ht="21.75" customHeight="1" s="81">
      <c r="A37" s="166" t="inlineStr">
        <is>
          <t>Bénin</t>
        </is>
      </c>
      <c r="B37" s="167" t="inlineStr">
        <is>
          <t>BJ</t>
        </is>
      </c>
      <c r="C37" s="166" t="inlineStr">
        <is>
          <t>Bohicon</t>
        </is>
      </c>
      <c r="D37" s="179" t="inlineStr">
        <is>
          <t>Aw</t>
        </is>
      </c>
      <c r="E37" s="186" t="inlineStr">
        <is>
          <t>Zou</t>
        </is>
      </c>
      <c r="F37" s="170" t="n">
        <v>23</v>
      </c>
      <c r="G37" s="170" t="n">
        <v>34</v>
      </c>
      <c r="H37" s="171" t="n">
        <v>28</v>
      </c>
      <c r="I37" s="170" t="n">
        <v>72</v>
      </c>
      <c r="J37" s="171" t="n">
        <v>5.5</v>
      </c>
      <c r="K37" s="170" t="n">
        <v>11</v>
      </c>
      <c r="L37" s="172" t="n">
        <v>26.1</v>
      </c>
      <c r="M37" s="173" t="inlineStr">
        <is>
          <t>DMN Bénin + climate-data.org</t>
        </is>
      </c>
      <c r="N37" s="89" t="n"/>
      <c r="O37" s="90" t="n"/>
      <c r="P37" s="89" t="n"/>
    </row>
    <row r="38" ht="21.75" customHeight="1" s="81">
      <c r="A38" s="166" t="inlineStr">
        <is>
          <t>Bénin</t>
        </is>
      </c>
      <c r="B38" s="167" t="inlineStr">
        <is>
          <t>BJ</t>
        </is>
      </c>
      <c r="C38" s="166" t="inlineStr">
        <is>
          <t>Covè</t>
        </is>
      </c>
      <c r="D38" s="179" t="inlineStr">
        <is>
          <t>Aw</t>
        </is>
      </c>
      <c r="E38" s="187" t="inlineStr">
        <is>
          <t>Zou</t>
        </is>
      </c>
      <c r="F38" s="175" t="n">
        <v>23</v>
      </c>
      <c r="G38" s="175" t="n">
        <v>35</v>
      </c>
      <c r="H38" s="176" t="n">
        <v>28</v>
      </c>
      <c r="I38" s="175" t="n">
        <v>70</v>
      </c>
      <c r="J38" s="176" t="n">
        <v>5.5</v>
      </c>
      <c r="K38" s="175" t="n">
        <v>12</v>
      </c>
      <c r="L38" s="172" t="n">
        <v>26.1</v>
      </c>
      <c r="M38" s="177" t="inlineStr">
        <is>
          <t>DMN Bénin + climate-data.org</t>
        </is>
      </c>
      <c r="N38" s="94" t="n"/>
      <c r="O38" s="95" t="n"/>
      <c r="P38" s="94" t="n"/>
    </row>
    <row r="39" ht="21.75" customHeight="1" s="81">
      <c r="A39" s="166" t="inlineStr">
        <is>
          <t>Bénin</t>
        </is>
      </c>
      <c r="B39" s="167" t="inlineStr">
        <is>
          <t>BJ</t>
        </is>
      </c>
      <c r="C39" s="166" t="inlineStr">
        <is>
          <t>Djidja</t>
        </is>
      </c>
      <c r="D39" s="179" t="inlineStr">
        <is>
          <t>Aw</t>
        </is>
      </c>
      <c r="E39" s="186" t="inlineStr">
        <is>
          <t>Zou</t>
        </is>
      </c>
      <c r="F39" s="170" t="n">
        <v>22</v>
      </c>
      <c r="G39" s="170" t="n">
        <v>36</v>
      </c>
      <c r="H39" s="171" t="n">
        <v>28</v>
      </c>
      <c r="I39" s="170" t="n">
        <v>68</v>
      </c>
      <c r="J39" s="171" t="n">
        <v>5.6</v>
      </c>
      <c r="K39" s="170" t="n">
        <v>14</v>
      </c>
      <c r="L39" s="172" t="n">
        <v>26.5</v>
      </c>
      <c r="M39" s="173" t="inlineStr">
        <is>
          <t>DMN Bénin + climate-data.org</t>
        </is>
      </c>
      <c r="N39" s="89" t="n"/>
      <c r="O39" s="90" t="n"/>
      <c r="P39" s="89" t="n"/>
    </row>
    <row r="40" ht="21.75" customHeight="1" s="81">
      <c r="A40" s="166" t="inlineStr">
        <is>
          <t>Bénin</t>
        </is>
      </c>
      <c r="B40" s="167" t="inlineStr">
        <is>
          <t>BJ</t>
        </is>
      </c>
      <c r="C40" s="166" t="inlineStr">
        <is>
          <t>Ouinhi</t>
        </is>
      </c>
      <c r="D40" s="179" t="inlineStr">
        <is>
          <t>Aw</t>
        </is>
      </c>
      <c r="E40" s="187" t="inlineStr">
        <is>
          <t>Zou</t>
        </is>
      </c>
      <c r="F40" s="175" t="n">
        <v>23</v>
      </c>
      <c r="G40" s="175" t="n">
        <v>35</v>
      </c>
      <c r="H40" s="176" t="n">
        <v>28</v>
      </c>
      <c r="I40" s="175" t="n">
        <v>70</v>
      </c>
      <c r="J40" s="176" t="n">
        <v>5.5</v>
      </c>
      <c r="K40" s="175" t="n">
        <v>12</v>
      </c>
      <c r="L40" s="172" t="n">
        <v>26.1</v>
      </c>
      <c r="M40" s="177" t="inlineStr">
        <is>
          <t>DMN Bénin analogie Abomey</t>
        </is>
      </c>
      <c r="N40" s="94" t="n"/>
      <c r="O40" s="95" t="n"/>
      <c r="P40" s="94" t="n"/>
    </row>
    <row r="41" ht="21.75" customHeight="1" s="81">
      <c r="A41" s="166" t="inlineStr">
        <is>
          <t>Bénin</t>
        </is>
      </c>
      <c r="B41" s="167" t="inlineStr">
        <is>
          <t>BJ</t>
        </is>
      </c>
      <c r="C41" s="166" t="inlineStr">
        <is>
          <t>Za-Kpota</t>
        </is>
      </c>
      <c r="D41" s="179" t="inlineStr">
        <is>
          <t>Aw</t>
        </is>
      </c>
      <c r="E41" s="186" t="inlineStr">
        <is>
          <t>Zou</t>
        </is>
      </c>
      <c r="F41" s="170" t="n">
        <v>23</v>
      </c>
      <c r="G41" s="170" t="n">
        <v>35</v>
      </c>
      <c r="H41" s="171" t="n">
        <v>28</v>
      </c>
      <c r="I41" s="170" t="n">
        <v>70</v>
      </c>
      <c r="J41" s="171" t="n">
        <v>5.5</v>
      </c>
      <c r="K41" s="170" t="n">
        <v>12</v>
      </c>
      <c r="L41" s="172" t="n">
        <v>26.1</v>
      </c>
      <c r="M41" s="173" t="inlineStr">
        <is>
          <t>DMN Bénin analogie Abomey</t>
        </is>
      </c>
      <c r="N41" s="89" t="n"/>
      <c r="O41" s="90" t="n"/>
      <c r="P41" s="89" t="n"/>
    </row>
    <row r="42" ht="21.75" customHeight="1" s="81">
      <c r="A42" s="166" t="inlineStr">
        <is>
          <t>Bénin</t>
        </is>
      </c>
      <c r="B42" s="167" t="inlineStr">
        <is>
          <t>BJ</t>
        </is>
      </c>
      <c r="C42" s="166" t="inlineStr">
        <is>
          <t>Zangnanado</t>
        </is>
      </c>
      <c r="D42" s="179" t="inlineStr">
        <is>
          <t>Aw</t>
        </is>
      </c>
      <c r="E42" s="187" t="inlineStr">
        <is>
          <t>Zou</t>
        </is>
      </c>
      <c r="F42" s="175" t="n">
        <v>23</v>
      </c>
      <c r="G42" s="175" t="n">
        <v>35</v>
      </c>
      <c r="H42" s="176" t="n">
        <v>28</v>
      </c>
      <c r="I42" s="175" t="n">
        <v>70</v>
      </c>
      <c r="J42" s="176" t="n">
        <v>5.6</v>
      </c>
      <c r="K42" s="175" t="n">
        <v>12</v>
      </c>
      <c r="L42" s="172" t="n">
        <v>26.1</v>
      </c>
      <c r="M42" s="177" t="inlineStr">
        <is>
          <t>DMN Bénin + climate-data.org</t>
        </is>
      </c>
      <c r="N42" s="94" t="n"/>
      <c r="O42" s="95" t="n"/>
      <c r="P42" s="94" t="n"/>
    </row>
    <row r="43" ht="21.75" customHeight="1" s="81">
      <c r="A43" s="166" t="inlineStr">
        <is>
          <t>Bénin</t>
        </is>
      </c>
      <c r="B43" s="167" t="inlineStr">
        <is>
          <t>BJ</t>
        </is>
      </c>
      <c r="C43" s="166" t="inlineStr">
        <is>
          <t>Zogbodomey</t>
        </is>
      </c>
      <c r="D43" s="179" t="inlineStr">
        <is>
          <t>Aw</t>
        </is>
      </c>
      <c r="E43" s="186" t="inlineStr">
        <is>
          <t>Zou</t>
        </is>
      </c>
      <c r="F43" s="170" t="n">
        <v>23</v>
      </c>
      <c r="G43" s="170" t="n">
        <v>35</v>
      </c>
      <c r="H43" s="171" t="n">
        <v>28</v>
      </c>
      <c r="I43" s="170" t="n">
        <v>71</v>
      </c>
      <c r="J43" s="171" t="n">
        <v>5.5</v>
      </c>
      <c r="K43" s="170" t="n">
        <v>12</v>
      </c>
      <c r="L43" s="172" t="n">
        <v>26.1</v>
      </c>
      <c r="M43" s="173" t="inlineStr">
        <is>
          <t>DMN Bénin analogie Bohicon</t>
        </is>
      </c>
      <c r="N43" s="89" t="n"/>
      <c r="O43" s="90" t="n"/>
      <c r="P43" s="89" t="n"/>
    </row>
    <row r="44" ht="21.75" customHeight="1" s="81">
      <c r="A44" s="166" t="inlineStr">
        <is>
          <t>Bénin</t>
        </is>
      </c>
      <c r="B44" s="167" t="inlineStr">
        <is>
          <t>BJ</t>
        </is>
      </c>
      <c r="C44" s="166" t="inlineStr">
        <is>
          <t>Savalou</t>
        </is>
      </c>
      <c r="D44" s="179" t="inlineStr">
        <is>
          <t>Aw</t>
        </is>
      </c>
      <c r="E44" s="188" t="inlineStr">
        <is>
          <t>Collines</t>
        </is>
      </c>
      <c r="F44" s="175" t="n">
        <v>22</v>
      </c>
      <c r="G44" s="175" t="n">
        <v>36</v>
      </c>
      <c r="H44" s="176" t="n">
        <v>28</v>
      </c>
      <c r="I44" s="175" t="n">
        <v>67</v>
      </c>
      <c r="J44" s="176" t="n">
        <v>5.7</v>
      </c>
      <c r="K44" s="175" t="n">
        <v>14</v>
      </c>
      <c r="L44" s="172" t="n">
        <v>26.5</v>
      </c>
      <c r="M44" s="177" t="inlineStr">
        <is>
          <t>DMN Bénin + climate-data.org</t>
        </is>
      </c>
      <c r="N44" s="94" t="n"/>
      <c r="O44" s="95" t="n"/>
      <c r="P44" s="94" t="n"/>
    </row>
    <row r="45" ht="21.75" customHeight="1" s="81">
      <c r="A45" s="166" t="inlineStr">
        <is>
          <t>Bénin</t>
        </is>
      </c>
      <c r="B45" s="167" t="inlineStr">
        <is>
          <t>BJ</t>
        </is>
      </c>
      <c r="C45" s="166" t="inlineStr">
        <is>
          <t>Bantè</t>
        </is>
      </c>
      <c r="D45" s="179" t="inlineStr">
        <is>
          <t>Aw</t>
        </is>
      </c>
      <c r="E45" s="189" t="inlineStr">
        <is>
          <t>Collines</t>
        </is>
      </c>
      <c r="F45" s="170" t="n">
        <v>22</v>
      </c>
      <c r="G45" s="170" t="n">
        <v>36</v>
      </c>
      <c r="H45" s="171" t="n">
        <v>28</v>
      </c>
      <c r="I45" s="170" t="n">
        <v>67</v>
      </c>
      <c r="J45" s="171" t="n">
        <v>5.7</v>
      </c>
      <c r="K45" s="170" t="n">
        <v>14</v>
      </c>
      <c r="L45" s="172" t="n">
        <v>26.5</v>
      </c>
      <c r="M45" s="173" t="inlineStr">
        <is>
          <t>DMN Bénin + climate-data.org</t>
        </is>
      </c>
      <c r="N45" s="89" t="n"/>
      <c r="O45" s="90" t="n"/>
      <c r="P45" s="89" t="n"/>
    </row>
    <row r="46" ht="21.75" customHeight="1" s="81">
      <c r="A46" s="166" t="inlineStr">
        <is>
          <t>Bénin</t>
        </is>
      </c>
      <c r="B46" s="167" t="inlineStr">
        <is>
          <t>BJ</t>
        </is>
      </c>
      <c r="C46" s="166" t="inlineStr">
        <is>
          <t>Dassa-Zoumé</t>
        </is>
      </c>
      <c r="D46" s="179" t="inlineStr">
        <is>
          <t>Aw</t>
        </is>
      </c>
      <c r="E46" s="188" t="inlineStr">
        <is>
          <t>Collines</t>
        </is>
      </c>
      <c r="F46" s="175" t="n">
        <v>22</v>
      </c>
      <c r="G46" s="175" t="n">
        <v>36</v>
      </c>
      <c r="H46" s="176" t="n">
        <v>28</v>
      </c>
      <c r="I46" s="175" t="n">
        <v>67</v>
      </c>
      <c r="J46" s="176" t="n">
        <v>5.7</v>
      </c>
      <c r="K46" s="175" t="n">
        <v>14</v>
      </c>
      <c r="L46" s="172" t="n">
        <v>26.5</v>
      </c>
      <c r="M46" s="177" t="inlineStr">
        <is>
          <t>DMN Bénin + climate-data.org</t>
        </is>
      </c>
      <c r="N46" s="94" t="n"/>
      <c r="O46" s="95" t="n"/>
      <c r="P46" s="94" t="n"/>
    </row>
    <row r="47" ht="21.75" customHeight="1" s="81">
      <c r="A47" s="166" t="inlineStr">
        <is>
          <t>Bénin</t>
        </is>
      </c>
      <c r="B47" s="167" t="inlineStr">
        <is>
          <t>BJ</t>
        </is>
      </c>
      <c r="C47" s="166" t="inlineStr">
        <is>
          <t>Glazoué</t>
        </is>
      </c>
      <c r="D47" s="179" t="inlineStr">
        <is>
          <t>Aw</t>
        </is>
      </c>
      <c r="E47" s="189" t="inlineStr">
        <is>
          <t>Collines</t>
        </is>
      </c>
      <c r="F47" s="170" t="n">
        <v>22</v>
      </c>
      <c r="G47" s="170" t="n">
        <v>36</v>
      </c>
      <c r="H47" s="171" t="n">
        <v>28</v>
      </c>
      <c r="I47" s="170" t="n">
        <v>66</v>
      </c>
      <c r="J47" s="171" t="n">
        <v>5.7</v>
      </c>
      <c r="K47" s="170" t="n">
        <v>14</v>
      </c>
      <c r="L47" s="172" t="n">
        <v>26.5</v>
      </c>
      <c r="M47" s="173" t="inlineStr">
        <is>
          <t>DMN Bénin analogie Dassa</t>
        </is>
      </c>
      <c r="N47" s="89" t="n"/>
      <c r="O47" s="90" t="n"/>
      <c r="P47" s="89" t="n"/>
    </row>
    <row r="48" ht="21.75" customHeight="1" s="81">
      <c r="A48" s="166" t="inlineStr">
        <is>
          <t>Bénin</t>
        </is>
      </c>
      <c r="B48" s="167" t="inlineStr">
        <is>
          <t>BJ</t>
        </is>
      </c>
      <c r="C48" s="166" t="inlineStr">
        <is>
          <t>Ouèssè</t>
        </is>
      </c>
      <c r="D48" s="179" t="inlineStr">
        <is>
          <t>Aw</t>
        </is>
      </c>
      <c r="E48" s="188" t="inlineStr">
        <is>
          <t>Collines</t>
        </is>
      </c>
      <c r="F48" s="175" t="n">
        <v>21</v>
      </c>
      <c r="G48" s="175" t="n">
        <v>37</v>
      </c>
      <c r="H48" s="176" t="n">
        <v>28</v>
      </c>
      <c r="I48" s="175" t="n">
        <v>64</v>
      </c>
      <c r="J48" s="176" t="n">
        <v>5.8</v>
      </c>
      <c r="K48" s="175" t="n">
        <v>16</v>
      </c>
      <c r="L48" s="172" t="n">
        <v>26.5</v>
      </c>
      <c r="M48" s="177" t="inlineStr">
        <is>
          <t>DMN Bénin + climate-data.org</t>
        </is>
      </c>
      <c r="N48" s="94" t="n"/>
      <c r="O48" s="95" t="n"/>
      <c r="P48" s="94" t="n"/>
    </row>
    <row r="49" ht="21.75" customHeight="1" s="81">
      <c r="A49" s="166" t="inlineStr">
        <is>
          <t>Bénin</t>
        </is>
      </c>
      <c r="B49" s="167" t="inlineStr">
        <is>
          <t>BJ</t>
        </is>
      </c>
      <c r="C49" s="166" t="inlineStr">
        <is>
          <t>Savè</t>
        </is>
      </c>
      <c r="D49" s="179" t="inlineStr">
        <is>
          <t>Aw</t>
        </is>
      </c>
      <c r="E49" s="189" t="inlineStr">
        <is>
          <t>Collines</t>
        </is>
      </c>
      <c r="F49" s="170" t="n">
        <v>22</v>
      </c>
      <c r="G49" s="170" t="n">
        <v>36</v>
      </c>
      <c r="H49" s="171" t="n">
        <v>28</v>
      </c>
      <c r="I49" s="170" t="n">
        <v>65</v>
      </c>
      <c r="J49" s="171" t="n">
        <v>5.7</v>
      </c>
      <c r="K49" s="170" t="n">
        <v>14</v>
      </c>
      <c r="L49" s="172" t="n">
        <v>26.5</v>
      </c>
      <c r="M49" s="173" t="inlineStr">
        <is>
          <t>DMN Bénin + climate-data.org</t>
        </is>
      </c>
      <c r="N49" s="89" t="n"/>
      <c r="O49" s="90" t="n"/>
      <c r="P49" s="89" t="n"/>
    </row>
    <row r="50" ht="21.75" customHeight="1" s="81">
      <c r="A50" s="166" t="inlineStr">
        <is>
          <t>Bénin</t>
        </is>
      </c>
      <c r="B50" s="167" t="inlineStr">
        <is>
          <t>BJ</t>
        </is>
      </c>
      <c r="C50" s="166" t="inlineStr">
        <is>
          <t>Pobè</t>
        </is>
      </c>
      <c r="D50" s="179" t="inlineStr">
        <is>
          <t>Aw</t>
        </is>
      </c>
      <c r="E50" s="190" t="inlineStr">
        <is>
          <t>Plateau</t>
        </is>
      </c>
      <c r="F50" s="175" t="n">
        <v>23</v>
      </c>
      <c r="G50" s="175" t="n">
        <v>35</v>
      </c>
      <c r="H50" s="176" t="n">
        <v>28</v>
      </c>
      <c r="I50" s="175" t="n">
        <v>72</v>
      </c>
      <c r="J50" s="176" t="n">
        <v>5.5</v>
      </c>
      <c r="K50" s="175" t="n">
        <v>12</v>
      </c>
      <c r="L50" s="172" t="n">
        <v>26.1</v>
      </c>
      <c r="M50" s="177" t="inlineStr">
        <is>
          <t>DMN Bénin + climate-data.org</t>
        </is>
      </c>
      <c r="N50" s="94" t="n"/>
      <c r="O50" s="95" t="n"/>
      <c r="P50" s="94" t="n"/>
    </row>
    <row r="51" ht="21.75" customHeight="1" s="81">
      <c r="A51" s="166" t="inlineStr">
        <is>
          <t>Bénin</t>
        </is>
      </c>
      <c r="B51" s="167" t="inlineStr">
        <is>
          <t>BJ</t>
        </is>
      </c>
      <c r="C51" s="166" t="inlineStr">
        <is>
          <t>Adja-Ouèrè</t>
        </is>
      </c>
      <c r="D51" s="179" t="inlineStr">
        <is>
          <t>Aw</t>
        </is>
      </c>
      <c r="E51" s="191" t="inlineStr">
        <is>
          <t>Plateau</t>
        </is>
      </c>
      <c r="F51" s="170" t="n">
        <v>23</v>
      </c>
      <c r="G51" s="170" t="n">
        <v>35</v>
      </c>
      <c r="H51" s="171" t="n">
        <v>28</v>
      </c>
      <c r="I51" s="170" t="n">
        <v>71</v>
      </c>
      <c r="J51" s="171" t="n">
        <v>5.5</v>
      </c>
      <c r="K51" s="170" t="n">
        <v>12</v>
      </c>
      <c r="L51" s="172" t="n">
        <v>26.1</v>
      </c>
      <c r="M51" s="173" t="inlineStr">
        <is>
          <t>DMN Bénin + climate-data.org</t>
        </is>
      </c>
      <c r="N51" s="89" t="n"/>
      <c r="O51" s="90" t="n"/>
      <c r="P51" s="89" t="n"/>
    </row>
    <row r="52" ht="21.75" customHeight="1" s="81">
      <c r="A52" s="166" t="inlineStr">
        <is>
          <t>Bénin</t>
        </is>
      </c>
      <c r="B52" s="167" t="inlineStr">
        <is>
          <t>BJ</t>
        </is>
      </c>
      <c r="C52" s="166" t="inlineStr">
        <is>
          <t>Ifangni</t>
        </is>
      </c>
      <c r="D52" s="179" t="inlineStr">
        <is>
          <t>Aw</t>
        </is>
      </c>
      <c r="E52" s="190" t="inlineStr">
        <is>
          <t>Plateau</t>
        </is>
      </c>
      <c r="F52" s="175" t="n">
        <v>23</v>
      </c>
      <c r="G52" s="175" t="n">
        <v>35</v>
      </c>
      <c r="H52" s="176" t="n">
        <v>28</v>
      </c>
      <c r="I52" s="175" t="n">
        <v>71</v>
      </c>
      <c r="J52" s="176" t="n">
        <v>5.5</v>
      </c>
      <c r="K52" s="175" t="n">
        <v>12</v>
      </c>
      <c r="L52" s="172" t="n">
        <v>26.1</v>
      </c>
      <c r="M52" s="177" t="inlineStr">
        <is>
          <t>DMN Bénin analogie Pobè</t>
        </is>
      </c>
      <c r="N52" s="94" t="n"/>
      <c r="O52" s="95" t="n"/>
      <c r="P52" s="94" t="n"/>
    </row>
    <row r="53" ht="21.75" customHeight="1" s="81">
      <c r="A53" s="166" t="inlineStr">
        <is>
          <t>Bénin</t>
        </is>
      </c>
      <c r="B53" s="167" t="inlineStr">
        <is>
          <t>BJ</t>
        </is>
      </c>
      <c r="C53" s="166" t="inlineStr">
        <is>
          <t>Kétou</t>
        </is>
      </c>
      <c r="D53" s="179" t="inlineStr">
        <is>
          <t>Aw</t>
        </is>
      </c>
      <c r="E53" s="191" t="inlineStr">
        <is>
          <t>Plateau</t>
        </is>
      </c>
      <c r="F53" s="170" t="n">
        <v>23</v>
      </c>
      <c r="G53" s="170" t="n">
        <v>35</v>
      </c>
      <c r="H53" s="171" t="n">
        <v>28</v>
      </c>
      <c r="I53" s="170" t="n">
        <v>70</v>
      </c>
      <c r="J53" s="171" t="n">
        <v>5.6</v>
      </c>
      <c r="K53" s="170" t="n">
        <v>12</v>
      </c>
      <c r="L53" s="172" t="n">
        <v>26.1</v>
      </c>
      <c r="M53" s="173" t="inlineStr">
        <is>
          <t>DMN Bénin + Laibi 2017 — site BTC</t>
        </is>
      </c>
      <c r="N53" s="89" t="n"/>
      <c r="O53" s="90" t="n"/>
      <c r="P53" s="89" t="n"/>
    </row>
    <row r="54" ht="21.75" customHeight="1" s="81">
      <c r="A54" s="166" t="inlineStr">
        <is>
          <t>Bénin</t>
        </is>
      </c>
      <c r="B54" s="167" t="inlineStr">
        <is>
          <t>BJ</t>
        </is>
      </c>
      <c r="C54" s="166" t="inlineStr">
        <is>
          <t>Sakété</t>
        </is>
      </c>
      <c r="D54" s="179" t="inlineStr">
        <is>
          <t>Aw</t>
        </is>
      </c>
      <c r="E54" s="190" t="inlineStr">
        <is>
          <t>Plateau</t>
        </is>
      </c>
      <c r="F54" s="175" t="n">
        <v>23</v>
      </c>
      <c r="G54" s="175" t="n">
        <v>35</v>
      </c>
      <c r="H54" s="176" t="n">
        <v>28</v>
      </c>
      <c r="I54" s="175" t="n">
        <v>72</v>
      </c>
      <c r="J54" s="176" t="n">
        <v>5.5</v>
      </c>
      <c r="K54" s="175" t="n">
        <v>12</v>
      </c>
      <c r="L54" s="172" t="n">
        <v>26.1</v>
      </c>
      <c r="M54" s="177" t="inlineStr">
        <is>
          <t>DMN Bénin + climate-data.org</t>
        </is>
      </c>
      <c r="N54" s="94" t="n"/>
      <c r="O54" s="95" t="n"/>
      <c r="P54" s="94" t="n"/>
    </row>
    <row r="55" ht="21.75" customHeight="1" s="81">
      <c r="A55" s="166" t="inlineStr">
        <is>
          <t>Bénin</t>
        </is>
      </c>
      <c r="B55" s="167" t="inlineStr">
        <is>
          <t>BJ</t>
        </is>
      </c>
      <c r="C55" s="166" t="inlineStr">
        <is>
          <t>Parakou</t>
        </is>
      </c>
      <c r="D55" s="179" t="inlineStr">
        <is>
          <t>Aw</t>
        </is>
      </c>
      <c r="E55" s="192" t="inlineStr">
        <is>
          <t>Borgou</t>
        </is>
      </c>
      <c r="F55" s="170" t="n">
        <v>22</v>
      </c>
      <c r="G55" s="170" t="n">
        <v>36</v>
      </c>
      <c r="H55" s="171" t="n">
        <v>28</v>
      </c>
      <c r="I55" s="170" t="n">
        <v>65</v>
      </c>
      <c r="J55" s="171" t="n">
        <v>5.8</v>
      </c>
      <c r="K55" s="170" t="n">
        <v>14</v>
      </c>
      <c r="L55" s="172" t="n">
        <v>26.6</v>
      </c>
      <c r="M55" s="173" t="inlineStr">
        <is>
          <t>DMN Bénin + Laibi 2018 — site BTC</t>
        </is>
      </c>
      <c r="N55" s="89" t="n"/>
      <c r="O55" s="90" t="n"/>
      <c r="P55" s="89" t="n"/>
    </row>
    <row r="56" ht="21.75" customHeight="1" s="81">
      <c r="A56" s="166" t="inlineStr">
        <is>
          <t>Bénin</t>
        </is>
      </c>
      <c r="B56" s="167" t="inlineStr">
        <is>
          <t>BJ</t>
        </is>
      </c>
      <c r="C56" s="166" t="inlineStr">
        <is>
          <t>Bembèrèkè</t>
        </is>
      </c>
      <c r="D56" s="193" t="inlineStr">
        <is>
          <t>BSh</t>
        </is>
      </c>
      <c r="E56" s="194" t="inlineStr">
        <is>
          <t>Borgou</t>
        </is>
      </c>
      <c r="F56" s="175" t="n">
        <v>21</v>
      </c>
      <c r="G56" s="175" t="n">
        <v>37</v>
      </c>
      <c r="H56" s="176" t="n">
        <v>28</v>
      </c>
      <c r="I56" s="175" t="n">
        <v>57</v>
      </c>
      <c r="J56" s="176" t="n">
        <v>5.9</v>
      </c>
      <c r="K56" s="175" t="n">
        <v>16</v>
      </c>
      <c r="L56" s="172" t="n">
        <v>26.6</v>
      </c>
      <c r="M56" s="177" t="inlineStr">
        <is>
          <t>DMN Bénin + climate-data.org</t>
        </is>
      </c>
      <c r="N56" s="94" t="n"/>
      <c r="O56" s="95" t="n"/>
      <c r="P56" s="94" t="n"/>
    </row>
    <row r="57" ht="21.75" customHeight="1" s="81">
      <c r="A57" s="166" t="inlineStr">
        <is>
          <t>Bénin</t>
        </is>
      </c>
      <c r="B57" s="167" t="inlineStr">
        <is>
          <t>BJ</t>
        </is>
      </c>
      <c r="C57" s="166" t="inlineStr">
        <is>
          <t>Kalalé</t>
        </is>
      </c>
      <c r="D57" s="193" t="inlineStr">
        <is>
          <t>BSh</t>
        </is>
      </c>
      <c r="E57" s="192" t="inlineStr">
        <is>
          <t>Borgou</t>
        </is>
      </c>
      <c r="F57" s="170" t="n">
        <v>21</v>
      </c>
      <c r="G57" s="170" t="n">
        <v>38</v>
      </c>
      <c r="H57" s="171" t="n">
        <v>28</v>
      </c>
      <c r="I57" s="170" t="n">
        <v>55</v>
      </c>
      <c r="J57" s="171" t="n">
        <v>6</v>
      </c>
      <c r="K57" s="170" t="n">
        <v>17</v>
      </c>
      <c r="L57" s="172" t="n">
        <v>26.6</v>
      </c>
      <c r="M57" s="173" t="inlineStr">
        <is>
          <t>DMN Bénin + climate-data.org</t>
        </is>
      </c>
      <c r="N57" s="89" t="n"/>
      <c r="O57" s="90" t="n"/>
      <c r="P57" s="89" t="n"/>
    </row>
    <row r="58" ht="21.75" customHeight="1" s="81">
      <c r="A58" s="166" t="inlineStr">
        <is>
          <t>Bénin</t>
        </is>
      </c>
      <c r="B58" s="167" t="inlineStr">
        <is>
          <t>BJ</t>
        </is>
      </c>
      <c r="C58" s="166" t="inlineStr">
        <is>
          <t>N'Dali</t>
        </is>
      </c>
      <c r="D58" s="179" t="inlineStr">
        <is>
          <t>Aw</t>
        </is>
      </c>
      <c r="E58" s="194" t="inlineStr">
        <is>
          <t>Borgou</t>
        </is>
      </c>
      <c r="F58" s="175" t="n">
        <v>22</v>
      </c>
      <c r="G58" s="175" t="n">
        <v>37</v>
      </c>
      <c r="H58" s="176" t="n">
        <v>28</v>
      </c>
      <c r="I58" s="175" t="n">
        <v>62</v>
      </c>
      <c r="J58" s="176" t="n">
        <v>5.8</v>
      </c>
      <c r="K58" s="175" t="n">
        <v>15</v>
      </c>
      <c r="L58" s="172" t="n">
        <v>26.6</v>
      </c>
      <c r="M58" s="177" t="inlineStr">
        <is>
          <t>DMN Bénin + climate-data.org</t>
        </is>
      </c>
      <c r="N58" s="94" t="n"/>
      <c r="O58" s="95" t="n"/>
      <c r="P58" s="94" t="n"/>
    </row>
    <row r="59" ht="21.75" customHeight="1" s="81">
      <c r="A59" s="166" t="inlineStr">
        <is>
          <t>Bénin</t>
        </is>
      </c>
      <c r="B59" s="167" t="inlineStr">
        <is>
          <t>BJ</t>
        </is>
      </c>
      <c r="C59" s="166" t="inlineStr">
        <is>
          <t>Nikki</t>
        </is>
      </c>
      <c r="D59" s="193" t="inlineStr">
        <is>
          <t>BSh</t>
        </is>
      </c>
      <c r="E59" s="192" t="inlineStr">
        <is>
          <t>Borgou</t>
        </is>
      </c>
      <c r="F59" s="170" t="n">
        <v>21</v>
      </c>
      <c r="G59" s="170" t="n">
        <v>38</v>
      </c>
      <c r="H59" s="171" t="n">
        <v>28</v>
      </c>
      <c r="I59" s="170" t="n">
        <v>57</v>
      </c>
      <c r="J59" s="171" t="n">
        <v>5.9</v>
      </c>
      <c r="K59" s="170" t="n">
        <v>17</v>
      </c>
      <c r="L59" s="172" t="n">
        <v>26.6</v>
      </c>
      <c r="M59" s="173" t="inlineStr">
        <is>
          <t>DMN Bénin + climate-data.org</t>
        </is>
      </c>
      <c r="N59" s="89" t="n"/>
      <c r="O59" s="90" t="n"/>
      <c r="P59" s="89" t="n"/>
    </row>
    <row r="60" ht="21.75" customHeight="1" s="81">
      <c r="A60" s="166" t="inlineStr">
        <is>
          <t>Bénin</t>
        </is>
      </c>
      <c r="B60" s="167" t="inlineStr">
        <is>
          <t>BJ</t>
        </is>
      </c>
      <c r="C60" s="166" t="inlineStr">
        <is>
          <t>Pèrèrè</t>
        </is>
      </c>
      <c r="D60" s="193" t="inlineStr">
        <is>
          <t>BSh</t>
        </is>
      </c>
      <c r="E60" s="194" t="inlineStr">
        <is>
          <t>Borgou</t>
        </is>
      </c>
      <c r="F60" s="175" t="n">
        <v>21</v>
      </c>
      <c r="G60" s="175" t="n">
        <v>38</v>
      </c>
      <c r="H60" s="176" t="n">
        <v>28</v>
      </c>
      <c r="I60" s="175" t="n">
        <v>56</v>
      </c>
      <c r="J60" s="176" t="n">
        <v>6</v>
      </c>
      <c r="K60" s="175" t="n">
        <v>17</v>
      </c>
      <c r="L60" s="172" t="n">
        <v>26.6</v>
      </c>
      <c r="M60" s="177" t="inlineStr">
        <is>
          <t>DMN Bénin analogie Nikki</t>
        </is>
      </c>
      <c r="N60" s="94" t="n"/>
      <c r="O60" s="95" t="n"/>
      <c r="P60" s="94" t="n"/>
    </row>
    <row r="61" ht="21.75" customHeight="1" s="81">
      <c r="A61" s="166" t="inlineStr">
        <is>
          <t>Bénin</t>
        </is>
      </c>
      <c r="B61" s="167" t="inlineStr">
        <is>
          <t>BJ</t>
        </is>
      </c>
      <c r="C61" s="166" t="inlineStr">
        <is>
          <t>Sinendé</t>
        </is>
      </c>
      <c r="D61" s="193" t="inlineStr">
        <is>
          <t>BSh</t>
        </is>
      </c>
      <c r="E61" s="192" t="inlineStr">
        <is>
          <t>Borgou</t>
        </is>
      </c>
      <c r="F61" s="170" t="n">
        <v>21</v>
      </c>
      <c r="G61" s="170" t="n">
        <v>38</v>
      </c>
      <c r="H61" s="171" t="n">
        <v>28</v>
      </c>
      <c r="I61" s="170" t="n">
        <v>57</v>
      </c>
      <c r="J61" s="171" t="n">
        <v>5.9</v>
      </c>
      <c r="K61" s="170" t="n">
        <v>17</v>
      </c>
      <c r="L61" s="172" t="n">
        <v>26.6</v>
      </c>
      <c r="M61" s="173" t="inlineStr">
        <is>
          <t>DMN Bénin + climate-data.org</t>
        </is>
      </c>
      <c r="N61" s="89" t="n"/>
      <c r="O61" s="90" t="n"/>
      <c r="P61" s="89" t="n"/>
    </row>
    <row r="62" ht="21.75" customHeight="1" s="81">
      <c r="A62" s="166" t="inlineStr">
        <is>
          <t>Bénin</t>
        </is>
      </c>
      <c r="B62" s="167" t="inlineStr">
        <is>
          <t>BJ</t>
        </is>
      </c>
      <c r="C62" s="166" t="inlineStr">
        <is>
          <t>Tchaourou</t>
        </is>
      </c>
      <c r="D62" s="179" t="inlineStr">
        <is>
          <t>Aw</t>
        </is>
      </c>
      <c r="E62" s="194" t="inlineStr">
        <is>
          <t>Borgou</t>
        </is>
      </c>
      <c r="F62" s="175" t="n">
        <v>22</v>
      </c>
      <c r="G62" s="175" t="n">
        <v>37</v>
      </c>
      <c r="H62" s="176" t="n">
        <v>28</v>
      </c>
      <c r="I62" s="175" t="n">
        <v>63</v>
      </c>
      <c r="J62" s="176" t="n">
        <v>5.8</v>
      </c>
      <c r="K62" s="175" t="n">
        <v>15</v>
      </c>
      <c r="L62" s="172" t="n">
        <v>26.6</v>
      </c>
      <c r="M62" s="177" t="inlineStr">
        <is>
          <t>DMN Bénin + climate-data.org</t>
        </is>
      </c>
      <c r="N62" s="94" t="n"/>
      <c r="O62" s="95" t="n"/>
      <c r="P62" s="94" t="n"/>
    </row>
    <row r="63" ht="21.75" customHeight="1" s="81">
      <c r="A63" s="166" t="inlineStr">
        <is>
          <t>Bénin</t>
        </is>
      </c>
      <c r="B63" s="167" t="inlineStr">
        <is>
          <t>BJ</t>
        </is>
      </c>
      <c r="C63" s="166" t="inlineStr">
        <is>
          <t>Kandi</t>
        </is>
      </c>
      <c r="D63" s="193" t="inlineStr">
        <is>
          <t>BSh</t>
        </is>
      </c>
      <c r="E63" s="195" t="inlineStr">
        <is>
          <t>Alibori</t>
        </is>
      </c>
      <c r="F63" s="170" t="n">
        <v>21</v>
      </c>
      <c r="G63" s="170" t="n">
        <v>38</v>
      </c>
      <c r="H63" s="171" t="n">
        <v>28</v>
      </c>
      <c r="I63" s="170" t="n">
        <v>55</v>
      </c>
      <c r="J63" s="171" t="n">
        <v>6</v>
      </c>
      <c r="K63" s="170" t="n">
        <v>17</v>
      </c>
      <c r="L63" s="172" t="n">
        <v>26.6</v>
      </c>
      <c r="M63" s="173" t="inlineStr">
        <is>
          <t>DMN Bénin + climate-data.org</t>
        </is>
      </c>
      <c r="N63" s="89" t="n"/>
      <c r="O63" s="90" t="n"/>
      <c r="P63" s="89" t="n"/>
    </row>
    <row r="64" ht="21.75" customHeight="1" s="81">
      <c r="A64" s="166" t="inlineStr">
        <is>
          <t>Bénin</t>
        </is>
      </c>
      <c r="B64" s="167" t="inlineStr">
        <is>
          <t>BJ</t>
        </is>
      </c>
      <c r="C64" s="166" t="inlineStr">
        <is>
          <t>Banikoara</t>
        </is>
      </c>
      <c r="D64" s="193" t="inlineStr">
        <is>
          <t>BSh</t>
        </is>
      </c>
      <c r="E64" s="196" t="inlineStr">
        <is>
          <t>Alibori</t>
        </is>
      </c>
      <c r="F64" s="175" t="n">
        <v>20</v>
      </c>
      <c r="G64" s="175" t="n">
        <v>39</v>
      </c>
      <c r="H64" s="176" t="n">
        <v>28</v>
      </c>
      <c r="I64" s="175" t="n">
        <v>52</v>
      </c>
      <c r="J64" s="176" t="n">
        <v>6.1</v>
      </c>
      <c r="K64" s="175" t="n">
        <v>19</v>
      </c>
      <c r="L64" s="172" t="n">
        <v>26.6</v>
      </c>
      <c r="M64" s="177" t="inlineStr">
        <is>
          <t>DMN Bénin + climate-data.org</t>
        </is>
      </c>
      <c r="N64" s="94" t="n"/>
      <c r="O64" s="95" t="n"/>
      <c r="P64" s="94" t="n"/>
    </row>
    <row r="65" ht="21.75" customHeight="1" s="81">
      <c r="A65" s="166" t="inlineStr">
        <is>
          <t>Bénin</t>
        </is>
      </c>
      <c r="B65" s="167" t="inlineStr">
        <is>
          <t>BJ</t>
        </is>
      </c>
      <c r="C65" s="166" t="inlineStr">
        <is>
          <t>Gogounou</t>
        </is>
      </c>
      <c r="D65" s="193" t="inlineStr">
        <is>
          <t>BSh</t>
        </is>
      </c>
      <c r="E65" s="195" t="inlineStr">
        <is>
          <t>Alibori</t>
        </is>
      </c>
      <c r="F65" s="170" t="n">
        <v>21</v>
      </c>
      <c r="G65" s="170" t="n">
        <v>38</v>
      </c>
      <c r="H65" s="171" t="n">
        <v>28</v>
      </c>
      <c r="I65" s="170" t="n">
        <v>54</v>
      </c>
      <c r="J65" s="171" t="n">
        <v>6</v>
      </c>
      <c r="K65" s="170" t="n">
        <v>17</v>
      </c>
      <c r="L65" s="172" t="n">
        <v>26.6</v>
      </c>
      <c r="M65" s="173" t="inlineStr">
        <is>
          <t>DMN Bénin analogie Kandi</t>
        </is>
      </c>
      <c r="N65" s="89" t="n"/>
      <c r="O65" s="90" t="n"/>
      <c r="P65" s="89" t="n"/>
    </row>
    <row r="66" ht="21.75" customHeight="1" s="81">
      <c r="A66" s="166" t="inlineStr">
        <is>
          <t>Bénin</t>
        </is>
      </c>
      <c r="B66" s="167" t="inlineStr">
        <is>
          <t>BJ</t>
        </is>
      </c>
      <c r="C66" s="166" t="inlineStr">
        <is>
          <t>Karimama</t>
        </is>
      </c>
      <c r="D66" s="193" t="inlineStr">
        <is>
          <t>BSh</t>
        </is>
      </c>
      <c r="E66" s="196" t="inlineStr">
        <is>
          <t>Alibori</t>
        </is>
      </c>
      <c r="F66" s="175" t="n">
        <v>20</v>
      </c>
      <c r="G66" s="175" t="n">
        <v>40</v>
      </c>
      <c r="H66" s="176" t="n">
        <v>29</v>
      </c>
      <c r="I66" s="175" t="n">
        <v>48</v>
      </c>
      <c r="J66" s="176" t="n">
        <v>6.2</v>
      </c>
      <c r="K66" s="175" t="n">
        <v>20</v>
      </c>
      <c r="L66" s="172" t="n">
        <v>26.9</v>
      </c>
      <c r="M66" s="177" t="inlineStr">
        <is>
          <t>DMN Bénin + climate-data.org</t>
        </is>
      </c>
      <c r="N66" s="94" t="n"/>
      <c r="O66" s="95" t="n"/>
      <c r="P66" s="94" t="n"/>
    </row>
    <row r="67" ht="21.75" customHeight="1" s="81">
      <c r="A67" s="166" t="inlineStr">
        <is>
          <t>Bénin</t>
        </is>
      </c>
      <c r="B67" s="167" t="inlineStr">
        <is>
          <t>BJ</t>
        </is>
      </c>
      <c r="C67" s="166" t="inlineStr">
        <is>
          <t>Malanville</t>
        </is>
      </c>
      <c r="D67" s="193" t="inlineStr">
        <is>
          <t>BSh</t>
        </is>
      </c>
      <c r="E67" s="195" t="inlineStr">
        <is>
          <t>Alibori</t>
        </is>
      </c>
      <c r="F67" s="170" t="n">
        <v>20</v>
      </c>
      <c r="G67" s="170" t="n">
        <v>40</v>
      </c>
      <c r="H67" s="171" t="n">
        <v>29</v>
      </c>
      <c r="I67" s="170" t="n">
        <v>45</v>
      </c>
      <c r="J67" s="171" t="n">
        <v>6.3</v>
      </c>
      <c r="K67" s="170" t="n">
        <v>20</v>
      </c>
      <c r="L67" s="172" t="n">
        <v>26.9</v>
      </c>
      <c r="M67" s="173" t="inlineStr">
        <is>
          <t>DMN Bénin + climate-data.org</t>
        </is>
      </c>
      <c r="N67" s="89" t="n"/>
      <c r="O67" s="90" t="n"/>
      <c r="P67" s="89" t="n"/>
    </row>
    <row r="68" ht="21.75" customHeight="1" s="81">
      <c r="A68" s="166" t="inlineStr">
        <is>
          <t>Bénin</t>
        </is>
      </c>
      <c r="B68" s="167" t="inlineStr">
        <is>
          <t>BJ</t>
        </is>
      </c>
      <c r="C68" s="166" t="inlineStr">
        <is>
          <t>Ségbana</t>
        </is>
      </c>
      <c r="D68" s="193" t="inlineStr">
        <is>
          <t>BSh</t>
        </is>
      </c>
      <c r="E68" s="196" t="inlineStr">
        <is>
          <t>Alibori</t>
        </is>
      </c>
      <c r="F68" s="175" t="n">
        <v>21</v>
      </c>
      <c r="G68" s="175" t="n">
        <v>38</v>
      </c>
      <c r="H68" s="176" t="n">
        <v>28</v>
      </c>
      <c r="I68" s="175" t="n">
        <v>53</v>
      </c>
      <c r="J68" s="176" t="n">
        <v>6</v>
      </c>
      <c r="K68" s="175" t="n">
        <v>17</v>
      </c>
      <c r="L68" s="172" t="n">
        <v>26.6</v>
      </c>
      <c r="M68" s="177" t="inlineStr">
        <is>
          <t>DMN Bénin analogie Kandi</t>
        </is>
      </c>
      <c r="N68" s="94" t="n"/>
      <c r="O68" s="95" t="n"/>
      <c r="P68" s="94" t="n"/>
    </row>
    <row r="69" ht="21.75" customHeight="1" s="81">
      <c r="A69" s="166" t="inlineStr">
        <is>
          <t>Bénin</t>
        </is>
      </c>
      <c r="B69" s="167" t="inlineStr">
        <is>
          <t>BJ</t>
        </is>
      </c>
      <c r="C69" s="166" t="inlineStr">
        <is>
          <t>Natitingou</t>
        </is>
      </c>
      <c r="D69" s="193" t="inlineStr">
        <is>
          <t>BSh</t>
        </is>
      </c>
      <c r="E69" s="197" t="inlineStr">
        <is>
          <t>Atacora</t>
        </is>
      </c>
      <c r="F69" s="170" t="n">
        <v>20</v>
      </c>
      <c r="G69" s="170" t="n">
        <v>38</v>
      </c>
      <c r="H69" s="171" t="n">
        <v>28</v>
      </c>
      <c r="I69" s="170" t="n">
        <v>50</v>
      </c>
      <c r="J69" s="171" t="n">
        <v>6.2</v>
      </c>
      <c r="K69" s="170" t="n">
        <v>18</v>
      </c>
      <c r="L69" s="172" t="n">
        <v>26.6</v>
      </c>
      <c r="M69" s="173" t="inlineStr">
        <is>
          <t>DMN Bénin — siège UNSTIM INSTI</t>
        </is>
      </c>
      <c r="N69" s="89" t="n"/>
      <c r="O69" s="90" t="n"/>
      <c r="P69" s="89" t="n"/>
    </row>
    <row r="70" ht="21.75" customHeight="1" s="81">
      <c r="A70" s="166" t="inlineStr">
        <is>
          <t>Bénin</t>
        </is>
      </c>
      <c r="B70" s="167" t="inlineStr">
        <is>
          <t>BJ</t>
        </is>
      </c>
      <c r="C70" s="166" t="inlineStr">
        <is>
          <t>Boukoumbé</t>
        </is>
      </c>
      <c r="D70" s="193" t="inlineStr">
        <is>
          <t>BSh</t>
        </is>
      </c>
      <c r="E70" s="198" t="inlineStr">
        <is>
          <t>Atacora</t>
        </is>
      </c>
      <c r="F70" s="175" t="n">
        <v>19</v>
      </c>
      <c r="G70" s="175" t="n">
        <v>38</v>
      </c>
      <c r="H70" s="176" t="n">
        <v>27</v>
      </c>
      <c r="I70" s="175" t="n">
        <v>50</v>
      </c>
      <c r="J70" s="176" t="n">
        <v>6.2</v>
      </c>
      <c r="K70" s="175" t="n">
        <v>19</v>
      </c>
      <c r="L70" s="172" t="n">
        <v>26.3</v>
      </c>
      <c r="M70" s="177" t="inlineStr">
        <is>
          <t>DMN Bénin + climate-data.org</t>
        </is>
      </c>
      <c r="N70" s="94" t="n"/>
      <c r="O70" s="95" t="n"/>
      <c r="P70" s="94" t="n"/>
    </row>
    <row r="71" ht="21.75" customHeight="1" s="81">
      <c r="A71" s="166" t="inlineStr">
        <is>
          <t>Bénin</t>
        </is>
      </c>
      <c r="B71" s="167" t="inlineStr">
        <is>
          <t>BJ</t>
        </is>
      </c>
      <c r="C71" s="166" t="inlineStr">
        <is>
          <t>Cobly</t>
        </is>
      </c>
      <c r="D71" s="193" t="inlineStr">
        <is>
          <t>BSh</t>
        </is>
      </c>
      <c r="E71" s="197" t="inlineStr">
        <is>
          <t>Atacora</t>
        </is>
      </c>
      <c r="F71" s="170" t="n">
        <v>19</v>
      </c>
      <c r="G71" s="170" t="n">
        <v>38</v>
      </c>
      <c r="H71" s="171" t="n">
        <v>27</v>
      </c>
      <c r="I71" s="170" t="n">
        <v>50</v>
      </c>
      <c r="J71" s="171" t="n">
        <v>6.2</v>
      </c>
      <c r="K71" s="170" t="n">
        <v>19</v>
      </c>
      <c r="L71" s="172" t="n">
        <v>26.3</v>
      </c>
      <c r="M71" s="173" t="inlineStr">
        <is>
          <t>DMN Bénin analogie Boukoumbé</t>
        </is>
      </c>
      <c r="N71" s="89" t="n"/>
      <c r="O71" s="90" t="n"/>
      <c r="P71" s="89" t="n"/>
    </row>
    <row r="72" ht="21.75" customHeight="1" s="81">
      <c r="A72" s="166" t="inlineStr">
        <is>
          <t>Bénin</t>
        </is>
      </c>
      <c r="B72" s="167" t="inlineStr">
        <is>
          <t>BJ</t>
        </is>
      </c>
      <c r="C72" s="166" t="inlineStr">
        <is>
          <t>Copargo</t>
        </is>
      </c>
      <c r="D72" s="193" t="inlineStr">
        <is>
          <t>BSh</t>
        </is>
      </c>
      <c r="E72" s="198" t="inlineStr">
        <is>
          <t>Donga</t>
        </is>
      </c>
      <c r="F72" s="175" t="n">
        <v>20</v>
      </c>
      <c r="G72" s="175" t="n">
        <v>38</v>
      </c>
      <c r="H72" s="176" t="n">
        <v>28</v>
      </c>
      <c r="I72" s="175" t="n">
        <v>51</v>
      </c>
      <c r="J72" s="176" t="n">
        <v>6.1</v>
      </c>
      <c r="K72" s="175" t="n">
        <v>18</v>
      </c>
      <c r="L72" s="172" t="n">
        <v>26.6</v>
      </c>
      <c r="M72" s="177" t="inlineStr">
        <is>
          <t>DMN Bénin + climate-data.org</t>
        </is>
      </c>
      <c r="N72" s="94" t="n"/>
      <c r="O72" s="95" t="n"/>
      <c r="P72" s="94" t="n"/>
    </row>
    <row r="73" ht="21.75" customHeight="1" s="81">
      <c r="A73" s="166" t="inlineStr">
        <is>
          <t>Bénin</t>
        </is>
      </c>
      <c r="B73" s="167" t="inlineStr">
        <is>
          <t>BJ</t>
        </is>
      </c>
      <c r="C73" s="166" t="inlineStr">
        <is>
          <t>Kérou</t>
        </is>
      </c>
      <c r="D73" s="193" t="inlineStr">
        <is>
          <t>BSh</t>
        </is>
      </c>
      <c r="E73" s="197" t="inlineStr">
        <is>
          <t>Atacora</t>
        </is>
      </c>
      <c r="F73" s="170" t="n">
        <v>21</v>
      </c>
      <c r="G73" s="170" t="n">
        <v>38</v>
      </c>
      <c r="H73" s="171" t="n">
        <v>28</v>
      </c>
      <c r="I73" s="170" t="n">
        <v>52</v>
      </c>
      <c r="J73" s="171" t="n">
        <v>6</v>
      </c>
      <c r="K73" s="170" t="n">
        <v>17</v>
      </c>
      <c r="L73" s="172" t="n">
        <v>26.6</v>
      </c>
      <c r="M73" s="173" t="inlineStr">
        <is>
          <t>DMN Bénin + climate-data.org</t>
        </is>
      </c>
      <c r="N73" s="89" t="n"/>
      <c r="O73" s="90" t="n"/>
      <c r="P73" s="89" t="n"/>
    </row>
    <row r="74" ht="21.75" customHeight="1" s="81">
      <c r="A74" s="166" t="inlineStr">
        <is>
          <t>Bénin</t>
        </is>
      </c>
      <c r="B74" s="167" t="inlineStr">
        <is>
          <t>BJ</t>
        </is>
      </c>
      <c r="C74" s="166" t="inlineStr">
        <is>
          <t>Kouandé</t>
        </is>
      </c>
      <c r="D74" s="193" t="inlineStr">
        <is>
          <t>BSh</t>
        </is>
      </c>
      <c r="E74" s="198" t="inlineStr">
        <is>
          <t>Atacora</t>
        </is>
      </c>
      <c r="F74" s="175" t="n">
        <v>20</v>
      </c>
      <c r="G74" s="175" t="n">
        <v>38</v>
      </c>
      <c r="H74" s="176" t="n">
        <v>28</v>
      </c>
      <c r="I74" s="175" t="n">
        <v>52</v>
      </c>
      <c r="J74" s="176" t="n">
        <v>6.1</v>
      </c>
      <c r="K74" s="175" t="n">
        <v>18</v>
      </c>
      <c r="L74" s="172" t="n">
        <v>26.6</v>
      </c>
      <c r="M74" s="177" t="inlineStr">
        <is>
          <t>DMN Bénin + climate-data.org</t>
        </is>
      </c>
      <c r="N74" s="94" t="n"/>
      <c r="O74" s="95" t="n"/>
      <c r="P74" s="94" t="n"/>
    </row>
    <row r="75" ht="21.75" customHeight="1" s="81">
      <c r="A75" s="166" t="inlineStr">
        <is>
          <t>Bénin</t>
        </is>
      </c>
      <c r="B75" s="167" t="inlineStr">
        <is>
          <t>BJ</t>
        </is>
      </c>
      <c r="C75" s="166" t="inlineStr">
        <is>
          <t>Matéri</t>
        </is>
      </c>
      <c r="D75" s="193" t="inlineStr">
        <is>
          <t>BSh</t>
        </is>
      </c>
      <c r="E75" s="197" t="inlineStr">
        <is>
          <t>Atacora</t>
        </is>
      </c>
      <c r="F75" s="170" t="n">
        <v>20</v>
      </c>
      <c r="G75" s="170" t="n">
        <v>39</v>
      </c>
      <c r="H75" s="171" t="n">
        <v>28</v>
      </c>
      <c r="I75" s="170" t="n">
        <v>50</v>
      </c>
      <c r="J75" s="171" t="n">
        <v>6.2</v>
      </c>
      <c r="K75" s="170" t="n">
        <v>19</v>
      </c>
      <c r="L75" s="172" t="n">
        <v>26.6</v>
      </c>
      <c r="M75" s="173" t="inlineStr">
        <is>
          <t>DMN Bénin + climate-data.org</t>
        </is>
      </c>
      <c r="N75" s="89" t="n"/>
      <c r="O75" s="90" t="n"/>
      <c r="P75" s="89" t="n"/>
    </row>
    <row r="76" ht="21.75" customHeight="1" s="81">
      <c r="A76" s="166" t="inlineStr">
        <is>
          <t>Bénin</t>
        </is>
      </c>
      <c r="B76" s="167" t="inlineStr">
        <is>
          <t>BJ</t>
        </is>
      </c>
      <c r="C76" s="166" t="inlineStr">
        <is>
          <t>Péhunco</t>
        </is>
      </c>
      <c r="D76" s="193" t="inlineStr">
        <is>
          <t>BSh</t>
        </is>
      </c>
      <c r="E76" s="198" t="inlineStr">
        <is>
          <t>Atacora</t>
        </is>
      </c>
      <c r="F76" s="175" t="n">
        <v>20</v>
      </c>
      <c r="G76" s="175" t="n">
        <v>38</v>
      </c>
      <c r="H76" s="176" t="n">
        <v>28</v>
      </c>
      <c r="I76" s="175" t="n">
        <v>52</v>
      </c>
      <c r="J76" s="176" t="n">
        <v>6.1</v>
      </c>
      <c r="K76" s="175" t="n">
        <v>18</v>
      </c>
      <c r="L76" s="172" t="n">
        <v>26.6</v>
      </c>
      <c r="M76" s="177" t="inlineStr">
        <is>
          <t>DMN Bénin analogie Kérou</t>
        </is>
      </c>
      <c r="N76" s="94" t="n"/>
      <c r="O76" s="95" t="n"/>
      <c r="P76" s="94" t="n"/>
    </row>
    <row r="77" ht="21.75" customHeight="1" s="81">
      <c r="A77" s="166" t="inlineStr">
        <is>
          <t>Bénin</t>
        </is>
      </c>
      <c r="B77" s="167" t="inlineStr">
        <is>
          <t>BJ</t>
        </is>
      </c>
      <c r="C77" s="166" t="inlineStr">
        <is>
          <t>Tanguiéta</t>
        </is>
      </c>
      <c r="D77" s="193" t="inlineStr">
        <is>
          <t>BSh</t>
        </is>
      </c>
      <c r="E77" s="197" t="inlineStr">
        <is>
          <t>Atacora</t>
        </is>
      </c>
      <c r="F77" s="170" t="n">
        <v>21</v>
      </c>
      <c r="G77" s="170" t="n">
        <v>38</v>
      </c>
      <c r="H77" s="171" t="n">
        <v>28</v>
      </c>
      <c r="I77" s="170" t="n">
        <v>53</v>
      </c>
      <c r="J77" s="171" t="n">
        <v>6</v>
      </c>
      <c r="K77" s="170" t="n">
        <v>17</v>
      </c>
      <c r="L77" s="172" t="n">
        <v>26.6</v>
      </c>
      <c r="M77" s="173" t="inlineStr">
        <is>
          <t>DMN Bénin + climate-data.org</t>
        </is>
      </c>
      <c r="N77" s="89" t="n"/>
      <c r="O77" s="90" t="n"/>
      <c r="P77" s="89" t="n"/>
    </row>
    <row r="78" ht="21.75" customHeight="1" s="81">
      <c r="A78" s="166" t="inlineStr">
        <is>
          <t>Bénin</t>
        </is>
      </c>
      <c r="B78" s="167" t="inlineStr">
        <is>
          <t>BJ</t>
        </is>
      </c>
      <c r="C78" s="166" t="inlineStr">
        <is>
          <t>Toucountouna</t>
        </is>
      </c>
      <c r="D78" s="193" t="inlineStr">
        <is>
          <t>BSh</t>
        </is>
      </c>
      <c r="E78" s="198" t="inlineStr">
        <is>
          <t>Atacora</t>
        </is>
      </c>
      <c r="F78" s="175" t="n">
        <v>20</v>
      </c>
      <c r="G78" s="175" t="n">
        <v>38</v>
      </c>
      <c r="H78" s="176" t="n">
        <v>28</v>
      </c>
      <c r="I78" s="175" t="n">
        <v>51</v>
      </c>
      <c r="J78" s="176" t="n">
        <v>6.1</v>
      </c>
      <c r="K78" s="175" t="n">
        <v>18</v>
      </c>
      <c r="L78" s="172" t="n">
        <v>26.6</v>
      </c>
      <c r="M78" s="177" t="inlineStr">
        <is>
          <t>DMN Bénin analogie Natitingou</t>
        </is>
      </c>
      <c r="N78" s="94" t="n"/>
      <c r="O78" s="95" t="n"/>
      <c r="P78" s="94" t="n"/>
    </row>
    <row r="79" ht="21.75" customHeight="1" s="81">
      <c r="A79" s="166" t="inlineStr">
        <is>
          <t>Bénin</t>
        </is>
      </c>
      <c r="B79" s="167" t="inlineStr">
        <is>
          <t>BJ</t>
        </is>
      </c>
      <c r="C79" s="166" t="inlineStr">
        <is>
          <t>Djougou</t>
        </is>
      </c>
      <c r="D79" s="193" t="inlineStr">
        <is>
          <t>BSh</t>
        </is>
      </c>
      <c r="E79" s="199" t="inlineStr">
        <is>
          <t>Donga</t>
        </is>
      </c>
      <c r="F79" s="170" t="n">
        <v>21</v>
      </c>
      <c r="G79" s="170" t="n">
        <v>37</v>
      </c>
      <c r="H79" s="171" t="n">
        <v>28</v>
      </c>
      <c r="I79" s="170" t="n">
        <v>52</v>
      </c>
      <c r="J79" s="171" t="n">
        <v>6.1</v>
      </c>
      <c r="K79" s="170" t="n">
        <v>16</v>
      </c>
      <c r="L79" s="172" t="n">
        <v>26.6</v>
      </c>
      <c r="M79" s="173" t="inlineStr">
        <is>
          <t>DMN Bénin + climate-data.org</t>
        </is>
      </c>
      <c r="N79" s="89" t="n"/>
      <c r="O79" s="90" t="n"/>
      <c r="P79" s="89" t="n"/>
    </row>
    <row r="80" ht="21.75" customHeight="1" s="81">
      <c r="A80" s="166" t="inlineStr">
        <is>
          <t>Bénin</t>
        </is>
      </c>
      <c r="B80" s="167" t="inlineStr">
        <is>
          <t>BJ</t>
        </is>
      </c>
      <c r="C80" s="166" t="inlineStr">
        <is>
          <t>Bassila</t>
        </is>
      </c>
      <c r="D80" s="179" t="inlineStr">
        <is>
          <t>Aw</t>
        </is>
      </c>
      <c r="E80" s="200" t="inlineStr">
        <is>
          <t>Donga</t>
        </is>
      </c>
      <c r="F80" s="175" t="n">
        <v>22</v>
      </c>
      <c r="G80" s="175" t="n">
        <v>36</v>
      </c>
      <c r="H80" s="176" t="n">
        <v>28</v>
      </c>
      <c r="I80" s="175" t="n">
        <v>60</v>
      </c>
      <c r="J80" s="176" t="n">
        <v>5.8</v>
      </c>
      <c r="K80" s="175" t="n">
        <v>14</v>
      </c>
      <c r="L80" s="172" t="n">
        <v>26.5</v>
      </c>
      <c r="M80" s="177" t="inlineStr">
        <is>
          <t>DMN Bénin + climate-data.org</t>
        </is>
      </c>
      <c r="N80" s="94" t="n"/>
      <c r="O80" s="95" t="n"/>
      <c r="P80" s="94" t="n"/>
    </row>
    <row r="81" ht="21.75" customHeight="1" s="81">
      <c r="A81" s="166" t="inlineStr">
        <is>
          <t>Bénin</t>
        </is>
      </c>
      <c r="B81" s="167" t="inlineStr">
        <is>
          <t>BJ</t>
        </is>
      </c>
      <c r="C81" s="166" t="inlineStr">
        <is>
          <t>Ouaké</t>
        </is>
      </c>
      <c r="D81" s="193" t="inlineStr">
        <is>
          <t>BSh</t>
        </is>
      </c>
      <c r="E81" s="199" t="inlineStr">
        <is>
          <t>Donga</t>
        </is>
      </c>
      <c r="F81" s="170" t="n">
        <v>20</v>
      </c>
      <c r="G81" s="170" t="n">
        <v>37</v>
      </c>
      <c r="H81" s="171" t="n">
        <v>27</v>
      </c>
      <c r="I81" s="170" t="n">
        <v>53</v>
      </c>
      <c r="J81" s="171" t="n">
        <v>6</v>
      </c>
      <c r="K81" s="170" t="n">
        <v>17</v>
      </c>
      <c r="L81" s="172" t="n">
        <v>26.3</v>
      </c>
      <c r="M81" s="173" t="inlineStr">
        <is>
          <t>DMN Bénin + climate-data.org</t>
        </is>
      </c>
      <c r="N81" s="89" t="n"/>
      <c r="O81" s="90" t="n"/>
      <c r="P81" s="89" t="n"/>
    </row>
    <row r="82" ht="21.75" customHeight="1" s="81">
      <c r="A82" s="201" t="inlineStr">
        <is>
          <t>Burkina Faso</t>
        </is>
      </c>
      <c r="B82" s="202" t="inlineStr">
        <is>
          <t>BF</t>
        </is>
      </c>
      <c r="C82" s="203" t="inlineStr">
        <is>
          <t>Ouagadougou</t>
        </is>
      </c>
      <c r="D82" s="193" t="inlineStr">
        <is>
          <t>BSh</t>
        </is>
      </c>
      <c r="E82" s="203" t="inlineStr">
        <is>
          <t>Semi-aride chaud</t>
        </is>
      </c>
      <c r="F82" s="204" t="n">
        <v>20</v>
      </c>
      <c r="G82" s="204" t="n">
        <v>38</v>
      </c>
      <c r="H82" s="205" t="n">
        <v>29</v>
      </c>
      <c r="I82" s="204" t="n">
        <v>48</v>
      </c>
      <c r="J82" s="205" t="n">
        <v>6</v>
      </c>
      <c r="K82" s="204" t="n">
        <v>18</v>
      </c>
      <c r="L82" s="205" t="n">
        <v>800</v>
      </c>
      <c r="M82" s="203" t="n">
        <v>26.6</v>
      </c>
      <c r="N82" s="203" t="inlineStr">
        <is>
          <t>climate-data.org + ERA5</t>
        </is>
      </c>
      <c r="O82" s="203" t="n">
        <v>2023</v>
      </c>
      <c r="P82" s="203" t="inlineStr">
        <is>
          <t>Capitale — Zone BSh référence</t>
        </is>
      </c>
      <c r="Q82" s="203" t="n"/>
      <c r="R82" s="203" t="n"/>
      <c r="S82" s="203" t="n"/>
    </row>
    <row r="83" ht="21.75" customHeight="1" s="81">
      <c r="A83" s="201" t="inlineStr">
        <is>
          <t>Burkina Faso</t>
        </is>
      </c>
      <c r="B83" s="202" t="inlineStr">
        <is>
          <t>BF</t>
        </is>
      </c>
      <c r="C83" s="203" t="inlineStr">
        <is>
          <t>Bobo-Dioulasso</t>
        </is>
      </c>
      <c r="D83" s="179" t="inlineStr">
        <is>
          <t>Aw</t>
        </is>
      </c>
      <c r="E83" s="206" t="inlineStr">
        <is>
          <t>Savane tropicale</t>
        </is>
      </c>
      <c r="F83" s="170" t="n">
        <v>22</v>
      </c>
      <c r="G83" s="170" t="n">
        <v>36</v>
      </c>
      <c r="H83" s="171" t="n">
        <v>29</v>
      </c>
      <c r="I83" s="170" t="n">
        <v>58</v>
      </c>
      <c r="J83" s="171" t="n">
        <v>5.8</v>
      </c>
      <c r="K83" s="170" t="n">
        <v>14</v>
      </c>
      <c r="L83" s="171" t="n">
        <v>1000</v>
      </c>
      <c r="M83" s="206" t="n">
        <v>26.6</v>
      </c>
      <c r="N83" s="206" t="inlineStr">
        <is>
          <t>climate-data.org</t>
        </is>
      </c>
      <c r="O83" s="206" t="n">
        <v>2023</v>
      </c>
      <c r="P83" s="206" t="inlineStr">
        <is>
          <t>2ème ville — Zone Aw</t>
        </is>
      </c>
      <c r="Q83" s="206" t="n"/>
      <c r="R83" s="206" t="n"/>
      <c r="S83" s="206" t="n"/>
    </row>
    <row r="84" ht="21.75" customHeight="1" s="81">
      <c r="A84" s="201" t="inlineStr">
        <is>
          <t>Burkina Faso</t>
        </is>
      </c>
      <c r="B84" s="202" t="inlineStr">
        <is>
          <t>BF</t>
        </is>
      </c>
      <c r="C84" s="203" t="inlineStr">
        <is>
          <t>Koudougou</t>
        </is>
      </c>
      <c r="D84" s="193" t="inlineStr">
        <is>
          <t>BSh</t>
        </is>
      </c>
      <c r="E84" s="203" t="inlineStr">
        <is>
          <t>Semi-aride chaud</t>
        </is>
      </c>
      <c r="F84" s="204" t="n">
        <v>21</v>
      </c>
      <c r="G84" s="204" t="n">
        <v>37</v>
      </c>
      <c r="H84" s="205" t="n">
        <v>29</v>
      </c>
      <c r="I84" s="204" t="n">
        <v>52</v>
      </c>
      <c r="J84" s="205" t="n">
        <v>5.9</v>
      </c>
      <c r="K84" s="204" t="n">
        <v>16</v>
      </c>
      <c r="L84" s="205" t="n">
        <v>800</v>
      </c>
      <c r="M84" s="203" t="n">
        <v>26.6</v>
      </c>
      <c r="N84" s="203" t="inlineStr">
        <is>
          <t>climate-data.org</t>
        </is>
      </c>
      <c r="O84" s="203" t="n">
        <v>2023</v>
      </c>
      <c r="P84" s="203" t="inlineStr">
        <is>
          <t>Centre-Ouest BSh</t>
        </is>
      </c>
      <c r="Q84" s="203" t="n"/>
      <c r="R84" s="203" t="n"/>
      <c r="S84" s="203" t="n"/>
    </row>
    <row r="85" ht="21.75" customHeight="1" s="81">
      <c r="A85" s="201" t="inlineStr">
        <is>
          <t>Burkina Faso</t>
        </is>
      </c>
      <c r="B85" s="202" t="inlineStr">
        <is>
          <t>BF</t>
        </is>
      </c>
      <c r="C85" s="203" t="inlineStr">
        <is>
          <t>Banfora</t>
        </is>
      </c>
      <c r="D85" s="179" t="inlineStr">
        <is>
          <t>Aw</t>
        </is>
      </c>
      <c r="E85" s="206" t="inlineStr">
        <is>
          <t>Savane tropicale</t>
        </is>
      </c>
      <c r="F85" s="170" t="n">
        <v>22</v>
      </c>
      <c r="G85" s="170" t="n">
        <v>36</v>
      </c>
      <c r="H85" s="171" t="n">
        <v>29</v>
      </c>
      <c r="I85" s="170" t="n">
        <v>60</v>
      </c>
      <c r="J85" s="171" t="n">
        <v>5.7</v>
      </c>
      <c r="K85" s="170" t="n">
        <v>14</v>
      </c>
      <c r="L85" s="171" t="n">
        <v>1000</v>
      </c>
      <c r="M85" s="206" t="n">
        <v>26.6</v>
      </c>
      <c r="N85" s="206" t="inlineStr">
        <is>
          <t>climate-data.org</t>
        </is>
      </c>
      <c r="O85" s="206" t="n">
        <v>2023</v>
      </c>
      <c r="P85" s="206" t="inlineStr">
        <is>
          <t>Cascade — Zone Aw humide</t>
        </is>
      </c>
      <c r="Q85" s="206" t="n"/>
      <c r="R85" s="206" t="n"/>
      <c r="S85" s="206" t="n"/>
    </row>
    <row r="86" ht="21.75" customHeight="1" s="81">
      <c r="A86" s="201" t="inlineStr">
        <is>
          <t>Burkina Faso</t>
        </is>
      </c>
      <c r="B86" s="202" t="inlineStr">
        <is>
          <t>BF</t>
        </is>
      </c>
      <c r="C86" s="203" t="inlineStr">
        <is>
          <t>Ouahigouya</t>
        </is>
      </c>
      <c r="D86" s="193" t="inlineStr">
        <is>
          <t>BSh</t>
        </is>
      </c>
      <c r="E86" s="203" t="inlineStr">
        <is>
          <t>Semi-aride chaud</t>
        </is>
      </c>
      <c r="F86" s="204" t="n">
        <v>19</v>
      </c>
      <c r="G86" s="204" t="n">
        <v>40</v>
      </c>
      <c r="H86" s="205" t="n">
        <v>29</v>
      </c>
      <c r="I86" s="204" t="n">
        <v>44</v>
      </c>
      <c r="J86" s="205" t="n">
        <v>6.1</v>
      </c>
      <c r="K86" s="204" t="n">
        <v>21</v>
      </c>
      <c r="L86" s="205" t="n">
        <v>700</v>
      </c>
      <c r="M86" s="203" t="n">
        <v>26.6</v>
      </c>
      <c r="N86" s="203" t="inlineStr">
        <is>
          <t>climate-data.org</t>
        </is>
      </c>
      <c r="O86" s="203" t="n">
        <v>2023</v>
      </c>
      <c r="P86" s="203" t="inlineStr">
        <is>
          <t>Nord — BSh aride</t>
        </is>
      </c>
      <c r="Q86" s="203" t="n"/>
      <c r="R86" s="203" t="n"/>
      <c r="S86" s="203" t="n"/>
    </row>
    <row r="87" ht="21.75" customHeight="1" s="81">
      <c r="A87" s="201" t="inlineStr">
        <is>
          <t>Burkina Faso</t>
        </is>
      </c>
      <c r="B87" s="202" t="inlineStr">
        <is>
          <t>BF</t>
        </is>
      </c>
      <c r="C87" s="203" t="inlineStr">
        <is>
          <t>Dédougou</t>
        </is>
      </c>
      <c r="D87" s="193" t="inlineStr">
        <is>
          <t>BSh</t>
        </is>
      </c>
      <c r="E87" s="206" t="inlineStr">
        <is>
          <t>Semi-aride chaud</t>
        </is>
      </c>
      <c r="F87" s="170" t="n">
        <v>20</v>
      </c>
      <c r="G87" s="170" t="n">
        <v>39</v>
      </c>
      <c r="H87" s="171" t="n">
        <v>29</v>
      </c>
      <c r="I87" s="170" t="n">
        <v>47</v>
      </c>
      <c r="J87" s="171" t="n">
        <v>6</v>
      </c>
      <c r="K87" s="170" t="n">
        <v>19</v>
      </c>
      <c r="L87" s="171" t="n">
        <v>750</v>
      </c>
      <c r="M87" s="206" t="n">
        <v>26.6</v>
      </c>
      <c r="N87" s="206" t="inlineStr">
        <is>
          <t>climate-data.org</t>
        </is>
      </c>
      <c r="O87" s="206" t="n">
        <v>2023</v>
      </c>
      <c r="P87" s="206" t="inlineStr">
        <is>
          <t>Boucle du Mouhoun</t>
        </is>
      </c>
      <c r="Q87" s="206" t="n"/>
      <c r="R87" s="206" t="n"/>
      <c r="S87" s="206" t="n"/>
    </row>
    <row r="88" ht="21.75" customHeight="1" s="81">
      <c r="A88" s="201" t="inlineStr">
        <is>
          <t>Burkina Faso</t>
        </is>
      </c>
      <c r="B88" s="202" t="inlineStr">
        <is>
          <t>BF</t>
        </is>
      </c>
      <c r="C88" s="203" t="inlineStr">
        <is>
          <t>Fada N'Gourma</t>
        </is>
      </c>
      <c r="D88" s="193" t="inlineStr">
        <is>
          <t>BSh</t>
        </is>
      </c>
      <c r="E88" s="203" t="inlineStr">
        <is>
          <t>Semi-aride chaud</t>
        </is>
      </c>
      <c r="F88" s="204" t="n">
        <v>20</v>
      </c>
      <c r="G88" s="204" t="n">
        <v>38</v>
      </c>
      <c r="H88" s="205" t="n">
        <v>29</v>
      </c>
      <c r="I88" s="204" t="n">
        <v>48</v>
      </c>
      <c r="J88" s="205" t="n">
        <v>5.9</v>
      </c>
      <c r="K88" s="204" t="n">
        <v>18</v>
      </c>
      <c r="L88" s="205" t="n">
        <v>800</v>
      </c>
      <c r="M88" s="203" t="n">
        <v>26.6</v>
      </c>
      <c r="N88" s="203" t="inlineStr">
        <is>
          <t>climate-data.org</t>
        </is>
      </c>
      <c r="O88" s="203" t="n">
        <v>2023</v>
      </c>
      <c r="P88" s="203" t="inlineStr">
        <is>
          <t>Est — BSh</t>
        </is>
      </c>
      <c r="Q88" s="203" t="n"/>
      <c r="R88" s="203" t="n"/>
      <c r="S88" s="203" t="n"/>
    </row>
    <row r="89" ht="21.75" customHeight="1" s="81">
      <c r="A89" s="201" t="inlineStr">
        <is>
          <t>Burkina Faso</t>
        </is>
      </c>
      <c r="B89" s="202" t="inlineStr">
        <is>
          <t>BF</t>
        </is>
      </c>
      <c r="C89" s="203" t="inlineStr">
        <is>
          <t>Dori</t>
        </is>
      </c>
      <c r="D89" s="193" t="inlineStr">
        <is>
          <t>BSh</t>
        </is>
      </c>
      <c r="E89" s="206" t="inlineStr">
        <is>
          <t>Semi-aride chaud</t>
        </is>
      </c>
      <c r="F89" s="170" t="n">
        <v>17</v>
      </c>
      <c r="G89" s="170" t="n">
        <v>41</v>
      </c>
      <c r="H89" s="171" t="n">
        <v>28</v>
      </c>
      <c r="I89" s="170" t="n">
        <v>38</v>
      </c>
      <c r="J89" s="171" t="n">
        <v>6.2</v>
      </c>
      <c r="K89" s="170" t="n">
        <v>24</v>
      </c>
      <c r="L89" s="171" t="n">
        <v>500</v>
      </c>
      <c r="M89" s="206" t="n">
        <v>26.3</v>
      </c>
      <c r="N89" s="206" t="inlineStr">
        <is>
          <t>climate-data.org</t>
        </is>
      </c>
      <c r="O89" s="206" t="n">
        <v>2023</v>
      </c>
      <c r="P89" s="206" t="inlineStr">
        <is>
          <t>Sahel — Zone très aride</t>
        </is>
      </c>
      <c r="Q89" s="206" t="n"/>
      <c r="R89" s="206" t="n"/>
      <c r="S89" s="206" t="n"/>
    </row>
    <row r="90" ht="21.75" customHeight="1" s="81">
      <c r="A90" s="207" t="inlineStr">
        <is>
          <t>Nigeria</t>
        </is>
      </c>
      <c r="B90" s="208" t="inlineStr">
        <is>
          <t>NG</t>
        </is>
      </c>
      <c r="C90" s="209" t="inlineStr">
        <is>
          <t>Lagos</t>
        </is>
      </c>
      <c r="D90" s="168" t="inlineStr">
        <is>
          <t>Am</t>
        </is>
      </c>
      <c r="E90" s="209" t="inlineStr">
        <is>
          <t>Mousson</t>
        </is>
      </c>
      <c r="F90" s="210" t="n">
        <v>24</v>
      </c>
      <c r="G90" s="210" t="n">
        <v>33</v>
      </c>
      <c r="H90" s="211" t="n">
        <v>29</v>
      </c>
      <c r="I90" s="210" t="n">
        <v>80</v>
      </c>
      <c r="J90" s="211" t="n">
        <v>5.3</v>
      </c>
      <c r="K90" s="210" t="n">
        <v>9</v>
      </c>
      <c r="L90" s="211" t="n">
        <v>1600</v>
      </c>
      <c r="M90" s="301" t="n">
        <v>29.1</v>
      </c>
      <c r="N90" s="209" t="inlineStr">
        <is>
          <t>climate-data.org + ERA5</t>
        </is>
      </c>
      <c r="O90" s="209" t="n">
        <v>2023</v>
      </c>
      <c r="P90" s="301" t="inlineStr">
        <is>
          <t>Tn corrigée v6 : Adebamowo 2007 (Lagos) via Munonye &amp; Ji 2021 Table 10 — Tn=29.09°C</t>
        </is>
      </c>
      <c r="Q90" s="209" t="n"/>
      <c r="R90" s="209" t="n"/>
      <c r="S90" s="209" t="n"/>
    </row>
    <row r="91" ht="21.75" customHeight="1" s="81">
      <c r="A91" s="207" t="inlineStr">
        <is>
          <t>Nigeria</t>
        </is>
      </c>
      <c r="B91" s="208" t="inlineStr">
        <is>
          <t>NG</t>
        </is>
      </c>
      <c r="C91" s="209" t="inlineStr">
        <is>
          <t>Abuja</t>
        </is>
      </c>
      <c r="D91" s="179" t="inlineStr">
        <is>
          <t>Aw</t>
        </is>
      </c>
      <c r="E91" s="206" t="inlineStr">
        <is>
          <t>Savane tropicale</t>
        </is>
      </c>
      <c r="F91" s="170" t="n">
        <v>22</v>
      </c>
      <c r="G91" s="170" t="n">
        <v>35</v>
      </c>
      <c r="H91" s="171" t="n">
        <v>28</v>
      </c>
      <c r="I91" s="170" t="n">
        <v>60</v>
      </c>
      <c r="J91" s="171" t="n">
        <v>5.6</v>
      </c>
      <c r="K91" s="170" t="n">
        <v>13</v>
      </c>
      <c r="L91" s="171" t="n">
        <v>1250</v>
      </c>
      <c r="M91" s="301" t="n">
        <v>28.9</v>
      </c>
      <c r="N91" s="206" t="inlineStr">
        <is>
          <t>climate-data.org</t>
        </is>
      </c>
      <c r="O91" s="206" t="n">
        <v>2023</v>
      </c>
      <c r="P91" s="301" t="inlineStr">
        <is>
          <t>Tn corrigée v6 : Adaji, Nikolopoulou, Watkins 2015 (Abuja résidentiel) via Munonye &amp; Ji 2021 — plage 28.2-29.6°C</t>
        </is>
      </c>
      <c r="Q91" s="206" t="n"/>
      <c r="R91" s="206" t="n"/>
      <c r="S91" s="206" t="n"/>
    </row>
    <row r="92" ht="21.75" customHeight="1" s="81">
      <c r="A92" s="207" t="inlineStr">
        <is>
          <t>Nigeria</t>
        </is>
      </c>
      <c r="B92" s="208" t="inlineStr">
        <is>
          <t>NG</t>
        </is>
      </c>
      <c r="C92" s="209" t="inlineStr">
        <is>
          <t>Kano</t>
        </is>
      </c>
      <c r="D92" s="193" t="inlineStr">
        <is>
          <t>BSh</t>
        </is>
      </c>
      <c r="E92" s="209" t="inlineStr">
        <is>
          <t>Semi-aride chaud</t>
        </is>
      </c>
      <c r="F92" s="210" t="n">
        <v>18</v>
      </c>
      <c r="G92" s="210" t="n">
        <v>40</v>
      </c>
      <c r="H92" s="211" t="n">
        <v>27</v>
      </c>
      <c r="I92" s="210" t="n">
        <v>42</v>
      </c>
      <c r="J92" s="211" t="n">
        <v>6.1</v>
      </c>
      <c r="K92" s="210" t="n">
        <v>22</v>
      </c>
      <c r="L92" s="211" t="n">
        <v>650</v>
      </c>
      <c r="M92" s="209" t="n">
        <v>25.9</v>
      </c>
      <c r="N92" s="209" t="inlineStr">
        <is>
          <t>climate-data.org</t>
        </is>
      </c>
      <c r="O92" s="209" t="n">
        <v>2023</v>
      </c>
      <c r="P92" s="209" t="inlineStr">
        <is>
          <t>Nord — Grand centre commercial</t>
        </is>
      </c>
      <c r="Q92" s="209" t="n"/>
      <c r="R92" s="209" t="n"/>
      <c r="S92" s="209" t="n"/>
    </row>
    <row r="93" ht="21.75" customHeight="1" s="81">
      <c r="A93" s="207" t="inlineStr">
        <is>
          <t>Nigeria</t>
        </is>
      </c>
      <c r="B93" s="208" t="inlineStr">
        <is>
          <t>NG</t>
        </is>
      </c>
      <c r="C93" s="209" t="inlineStr">
        <is>
          <t>Ibadan</t>
        </is>
      </c>
      <c r="D93" s="179" t="inlineStr">
        <is>
          <t>Aw</t>
        </is>
      </c>
      <c r="E93" s="206" t="inlineStr">
        <is>
          <t>Savane tropicale</t>
        </is>
      </c>
      <c r="F93" s="170" t="n">
        <v>22</v>
      </c>
      <c r="G93" s="170" t="n">
        <v>34</v>
      </c>
      <c r="H93" s="171" t="n">
        <v>28</v>
      </c>
      <c r="I93" s="170" t="n">
        <v>72</v>
      </c>
      <c r="J93" s="171" t="n">
        <v>5.5</v>
      </c>
      <c r="K93" s="170" t="n">
        <v>12</v>
      </c>
      <c r="L93" s="171" t="n">
        <v>1200</v>
      </c>
      <c r="M93" s="206" t="n">
        <v>26.3</v>
      </c>
      <c r="N93" s="206" t="inlineStr">
        <is>
          <t>climate-data.org</t>
        </is>
      </c>
      <c r="O93" s="206" t="n">
        <v>2023</v>
      </c>
      <c r="P93" s="206" t="inlineStr">
        <is>
          <t>Sud-Ouest — Aw humide</t>
        </is>
      </c>
      <c r="Q93" s="206" t="n"/>
      <c r="R93" s="206" t="n"/>
      <c r="S93" s="206" t="n"/>
    </row>
    <row r="94" ht="21.75" customHeight="1" s="81">
      <c r="A94" s="207" t="inlineStr">
        <is>
          <t>Nigeria</t>
        </is>
      </c>
      <c r="B94" s="208" t="inlineStr">
        <is>
          <t>NG</t>
        </is>
      </c>
      <c r="C94" s="209" t="inlineStr">
        <is>
          <t>Port Harcourt</t>
        </is>
      </c>
      <c r="D94" s="168" t="inlineStr">
        <is>
          <t>Am</t>
        </is>
      </c>
      <c r="E94" s="209" t="inlineStr">
        <is>
          <t>Mousson</t>
        </is>
      </c>
      <c r="F94" s="210" t="n">
        <v>24</v>
      </c>
      <c r="G94" s="210" t="n">
        <v>32</v>
      </c>
      <c r="H94" s="211" t="n">
        <v>28</v>
      </c>
      <c r="I94" s="210" t="n">
        <v>82</v>
      </c>
      <c r="J94" s="211" t="n">
        <v>5.1</v>
      </c>
      <c r="K94" s="210" t="n">
        <v>8</v>
      </c>
      <c r="L94" s="211" t="n">
        <v>2400</v>
      </c>
      <c r="M94" s="209" t="n">
        <v>26.3</v>
      </c>
      <c r="N94" s="209" t="inlineStr">
        <is>
          <t>climate-data.org</t>
        </is>
      </c>
      <c r="O94" s="209" t="n">
        <v>2023</v>
      </c>
      <c r="P94" s="209" t="inlineStr">
        <is>
          <t>Delta Niger — Am très humide</t>
        </is>
      </c>
      <c r="Q94" s="209" t="n"/>
      <c r="R94" s="209" t="n"/>
      <c r="S94" s="209" t="n"/>
    </row>
    <row r="95" ht="19.5" customHeight="1" s="81">
      <c r="A95" s="207" t="inlineStr">
        <is>
          <t>Nigeria</t>
        </is>
      </c>
      <c r="B95" s="254" t="n"/>
      <c r="C95" s="254" t="n"/>
      <c r="D95" s="254" t="n"/>
      <c r="E95" s="254" t="n"/>
      <c r="F95" s="254" t="n"/>
      <c r="G95" s="254" t="n"/>
      <c r="H95" s="254" t="n"/>
      <c r="I95" s="254" t="n"/>
      <c r="J95" s="254" t="n"/>
      <c r="K95" s="254" t="n"/>
      <c r="L95" s="254" t="n"/>
      <c r="M95" s="254" t="n"/>
      <c r="N95" s="254" t="n"/>
      <c r="O95" s="254" t="n"/>
      <c r="P95" s="255" t="n"/>
      <c r="Q95" s="206" t="n"/>
      <c r="R95" s="206" t="n"/>
      <c r="S95" s="206" t="n"/>
    </row>
    <row r="96">
      <c r="A96" s="207" t="inlineStr">
        <is>
          <t>Nigeria</t>
        </is>
      </c>
      <c r="B96" s="208" t="inlineStr">
        <is>
          <t>NG</t>
        </is>
      </c>
      <c r="C96" s="209" t="inlineStr">
        <is>
          <t>Kaduna</t>
        </is>
      </c>
      <c r="D96" s="179" t="inlineStr">
        <is>
          <t>Aw</t>
        </is>
      </c>
      <c r="E96" s="209" t="inlineStr">
        <is>
          <t>Savane tropicale</t>
        </is>
      </c>
      <c r="F96" s="210" t="n">
        <v>20</v>
      </c>
      <c r="G96" s="210" t="n">
        <v>35</v>
      </c>
      <c r="H96" s="211" t="n">
        <v>27</v>
      </c>
      <c r="I96" s="210" t="n">
        <v>58</v>
      </c>
      <c r="J96" s="211" t="n">
        <v>5.7</v>
      </c>
      <c r="K96" s="210" t="n">
        <v>15</v>
      </c>
      <c r="L96" s="211" t="n">
        <v>1300</v>
      </c>
      <c r="M96" s="209" t="n">
        <v>25.9</v>
      </c>
      <c r="N96" s="209" t="inlineStr">
        <is>
          <t>climate-data.org</t>
        </is>
      </c>
      <c r="O96" s="209" t="n">
        <v>2023</v>
      </c>
      <c r="P96" s="209" t="inlineStr">
        <is>
          <t>Nord-Centre — Aw</t>
        </is>
      </c>
      <c r="Q96" s="209" t="n"/>
      <c r="R96" s="209" t="n"/>
      <c r="S96" s="209" t="n"/>
    </row>
    <row r="97">
      <c r="A97" s="207" t="inlineStr">
        <is>
          <t>Nigeria</t>
        </is>
      </c>
      <c r="B97" s="208" t="inlineStr">
        <is>
          <t>NG</t>
        </is>
      </c>
      <c r="C97" s="209" t="inlineStr">
        <is>
          <t>Maiduguri</t>
        </is>
      </c>
      <c r="D97" s="193" t="inlineStr">
        <is>
          <t>BSh</t>
        </is>
      </c>
      <c r="E97" s="206" t="inlineStr">
        <is>
          <t>Semi-aride chaud</t>
        </is>
      </c>
      <c r="F97" s="170" t="n">
        <v>18</v>
      </c>
      <c r="G97" s="170" t="n">
        <v>40</v>
      </c>
      <c r="H97" s="171" t="n">
        <v>28</v>
      </c>
      <c r="I97" s="170" t="n">
        <v>40</v>
      </c>
      <c r="J97" s="171" t="n">
        <v>6.1</v>
      </c>
      <c r="K97" s="170" t="n">
        <v>22</v>
      </c>
      <c r="L97" s="171" t="n">
        <v>600</v>
      </c>
      <c r="M97" s="206" t="n">
        <v>26.3</v>
      </c>
      <c r="N97" s="206" t="inlineStr">
        <is>
          <t>climate-data.org</t>
        </is>
      </c>
      <c r="O97" s="206" t="n">
        <v>2023</v>
      </c>
      <c r="P97" s="206" t="inlineStr">
        <is>
          <t>Nord-Est — BSh extrême</t>
        </is>
      </c>
      <c r="Q97" s="206" t="n"/>
      <c r="R97" s="206" t="n"/>
      <c r="S97" s="206" t="n"/>
    </row>
    <row r="98">
      <c r="A98" s="207" t="inlineStr">
        <is>
          <t>Nigeria</t>
        </is>
      </c>
      <c r="B98" s="208" t="inlineStr">
        <is>
          <t>NG</t>
        </is>
      </c>
      <c r="C98" s="209" t="inlineStr">
        <is>
          <t>Warri</t>
        </is>
      </c>
      <c r="D98" s="168" t="inlineStr">
        <is>
          <t>Am</t>
        </is>
      </c>
      <c r="E98" s="209" t="inlineStr">
        <is>
          <t>Mousson</t>
        </is>
      </c>
      <c r="F98" s="210" t="n">
        <v>24</v>
      </c>
      <c r="G98" s="210" t="n">
        <v>33</v>
      </c>
      <c r="H98" s="211" t="n">
        <v>28</v>
      </c>
      <c r="I98" s="210" t="n">
        <v>82</v>
      </c>
      <c r="J98" s="211" t="n">
        <v>5.2</v>
      </c>
      <c r="K98" s="210" t="n">
        <v>9</v>
      </c>
      <c r="L98" s="211" t="n">
        <v>2800</v>
      </c>
      <c r="M98" s="209" t="n">
        <v>26.3</v>
      </c>
      <c r="N98" s="209" t="inlineStr">
        <is>
          <t>climate-data.org</t>
        </is>
      </c>
      <c r="O98" s="209" t="n">
        <v>2023</v>
      </c>
      <c r="P98" s="209" t="inlineStr">
        <is>
          <t>Delta Niger — très humide</t>
        </is>
      </c>
      <c r="Q98" s="209" t="n"/>
      <c r="R98" s="209" t="n"/>
      <c r="S98" s="209" t="n"/>
    </row>
    <row r="99">
      <c r="A99" s="207" t="inlineStr">
        <is>
          <t>Nigeria</t>
        </is>
      </c>
      <c r="B99" s="208" t="inlineStr">
        <is>
          <t>NG</t>
        </is>
      </c>
      <c r="C99" s="209" t="inlineStr">
        <is>
          <t>Benin City</t>
        </is>
      </c>
      <c r="D99" s="168" t="inlineStr">
        <is>
          <t>Am</t>
        </is>
      </c>
      <c r="E99" s="206" t="inlineStr">
        <is>
          <t>Mousson</t>
        </is>
      </c>
      <c r="F99" s="170" t="n">
        <v>23</v>
      </c>
      <c r="G99" s="170" t="n">
        <v>33</v>
      </c>
      <c r="H99" s="171" t="n">
        <v>28</v>
      </c>
      <c r="I99" s="170" t="n">
        <v>78</v>
      </c>
      <c r="J99" s="171" t="n">
        <v>5.3</v>
      </c>
      <c r="K99" s="170" t="n">
        <v>10</v>
      </c>
      <c r="L99" s="171" t="n">
        <v>2100</v>
      </c>
      <c r="M99" s="206" t="n">
        <v>26.3</v>
      </c>
      <c r="N99" s="206" t="inlineStr">
        <is>
          <t>climate-data.org</t>
        </is>
      </c>
      <c r="O99" s="206" t="n">
        <v>2023</v>
      </c>
      <c r="P99" s="206" t="inlineStr">
        <is>
          <t>Centre-Sud — Am</t>
        </is>
      </c>
      <c r="Q99" s="206" t="n"/>
      <c r="R99" s="206" t="n"/>
      <c r="S99" s="206" t="n"/>
    </row>
    <row r="100">
      <c r="A100" s="207" t="inlineStr">
        <is>
          <t>Nigeria</t>
        </is>
      </c>
      <c r="B100" s="208" t="inlineStr">
        <is>
          <t>NG</t>
        </is>
      </c>
      <c r="C100" s="209" t="inlineStr">
        <is>
          <t>Jos</t>
        </is>
      </c>
      <c r="D100" s="179" t="inlineStr">
        <is>
          <t>Aw</t>
        </is>
      </c>
      <c r="E100" s="209" t="inlineStr">
        <is>
          <t>Savane tropicale</t>
        </is>
      </c>
      <c r="F100" s="210" t="n">
        <v>16</v>
      </c>
      <c r="G100" s="210" t="n">
        <v>30</v>
      </c>
      <c r="H100" s="211" t="n">
        <v>22</v>
      </c>
      <c r="I100" s="210" t="n">
        <v>60</v>
      </c>
      <c r="J100" s="211" t="n">
        <v>5.4</v>
      </c>
      <c r="K100" s="210" t="n">
        <v>14</v>
      </c>
      <c r="L100" s="211" t="n">
        <v>1300</v>
      </c>
      <c r="M100" s="301" t="n">
        <v>26.3</v>
      </c>
      <c r="N100" s="209" t="inlineStr">
        <is>
          <t>climate-data.org</t>
        </is>
      </c>
      <c r="O100" s="209" t="n">
        <v>2023</v>
      </c>
      <c r="P100" s="301" t="inlineStr">
        <is>
          <t>Tn corrigée v6 : Ogbonna &amp; Harris 2008 (Jos résidentiel) via Munonye &amp; Ji 2021 — Tn=26.27°C</t>
        </is>
      </c>
      <c r="Q100" s="209" t="n"/>
      <c r="R100" s="209" t="n"/>
      <c r="S100" s="209" t="n"/>
    </row>
    <row r="101">
      <c r="A101" s="207" t="inlineStr">
        <is>
          <t>Nigeria</t>
        </is>
      </c>
      <c r="B101" s="208" t="inlineStr">
        <is>
          <t>NG</t>
        </is>
      </c>
      <c r="C101" s="209" t="inlineStr">
        <is>
          <t>Sokoto</t>
        </is>
      </c>
      <c r="D101" s="193" t="inlineStr">
        <is>
          <t>BSh</t>
        </is>
      </c>
      <c r="E101" s="206" t="inlineStr">
        <is>
          <t>Semi-aride chaud</t>
        </is>
      </c>
      <c r="F101" s="170" t="n">
        <v>18</v>
      </c>
      <c r="G101" s="170" t="n">
        <v>43</v>
      </c>
      <c r="H101" s="171" t="n">
        <v>29</v>
      </c>
      <c r="I101" s="170" t="n">
        <v>38</v>
      </c>
      <c r="J101" s="171" t="n">
        <v>6.2</v>
      </c>
      <c r="K101" s="170" t="n">
        <v>25</v>
      </c>
      <c r="L101" s="171" t="n">
        <v>700</v>
      </c>
      <c r="M101" s="206" t="n">
        <v>26.6</v>
      </c>
      <c r="N101" s="206" t="inlineStr">
        <is>
          <t>climate-data.org</t>
        </is>
      </c>
      <c r="O101" s="206" t="n">
        <v>2023</v>
      </c>
      <c r="P101" s="206" t="inlineStr">
        <is>
          <t>Extrême nord-ouest — très chaud</t>
        </is>
      </c>
      <c r="Q101" s="206" t="n"/>
      <c r="R101" s="206" t="n"/>
      <c r="S101" s="206" t="n"/>
    </row>
    <row r="102">
      <c r="A102" s="212" t="inlineStr">
        <is>
          <t>Cameroun</t>
        </is>
      </c>
      <c r="B102" s="213" t="inlineStr">
        <is>
          <t>CM</t>
        </is>
      </c>
      <c r="C102" s="214" t="inlineStr">
        <is>
          <t>Douala</t>
        </is>
      </c>
      <c r="D102" s="168" t="inlineStr">
        <is>
          <t>Am</t>
        </is>
      </c>
      <c r="E102" s="214" t="inlineStr">
        <is>
          <t>Mousson</t>
        </is>
      </c>
      <c r="F102" s="215" t="n">
        <v>23</v>
      </c>
      <c r="G102" s="215" t="n">
        <v>32</v>
      </c>
      <c r="H102" s="216" t="n">
        <v>27</v>
      </c>
      <c r="I102" s="215" t="n">
        <v>85</v>
      </c>
      <c r="J102" s="216" t="n">
        <v>4.8</v>
      </c>
      <c r="K102" s="215" t="n">
        <v>9</v>
      </c>
      <c r="L102" s="216" t="n">
        <v>4000</v>
      </c>
      <c r="M102" s="214" t="n">
        <v>25.9</v>
      </c>
      <c r="N102" s="214" t="inlineStr">
        <is>
          <t>climate-data.org</t>
        </is>
      </c>
      <c r="O102" s="214" t="n">
        <v>2023</v>
      </c>
      <c r="P102" s="214" t="inlineStr">
        <is>
          <t>Port — Am très humide — zone référence Nematchoua 2014</t>
        </is>
      </c>
      <c r="Q102" s="214" t="n"/>
      <c r="R102" s="214" t="n"/>
      <c r="S102" s="214" t="n"/>
    </row>
    <row r="103">
      <c r="A103" s="212" t="inlineStr">
        <is>
          <t>Cameroun</t>
        </is>
      </c>
      <c r="B103" s="213" t="inlineStr">
        <is>
          <t>CM</t>
        </is>
      </c>
      <c r="C103" s="214" t="inlineStr">
        <is>
          <t>Yaoundé</t>
        </is>
      </c>
      <c r="D103" s="302" t="inlineStr">
        <is>
          <t>Aw</t>
        </is>
      </c>
      <c r="E103" s="301" t="inlineStr">
        <is>
          <t>Savane tropicale équatoriale — saison sèche marquée Déc-Fév</t>
        </is>
      </c>
      <c r="F103" s="170" t="n">
        <v>19</v>
      </c>
      <c r="G103" s="170" t="n">
        <v>29</v>
      </c>
      <c r="H103" s="171" t="n">
        <v>24</v>
      </c>
      <c r="I103" s="170" t="n">
        <v>80</v>
      </c>
      <c r="J103" s="171" t="n">
        <v>4.5</v>
      </c>
      <c r="K103" s="170" t="n">
        <v>10</v>
      </c>
      <c r="L103" s="171" t="n">
        <v>1600</v>
      </c>
      <c r="M103" s="301" t="n">
        <v>25</v>
      </c>
      <c r="N103" s="206" t="inlineStr">
        <is>
          <t>climate-data.org</t>
        </is>
      </c>
      <c r="O103" s="206" t="n">
        <v>2023</v>
      </c>
      <c r="P103" s="301" t="inlineStr">
        <is>
          <t>CORRECTION v6 : Reclassification Köppen Af→Aw (climatestotravel + climate-data.org normales 1991-2020). Tn alignée sur Nematchoua RSER 2014.</t>
        </is>
      </c>
      <c r="Q103" s="206" t="n"/>
      <c r="R103" s="206" t="n"/>
      <c r="S103" s="206" t="n"/>
    </row>
    <row r="104">
      <c r="A104" s="212" t="inlineStr">
        <is>
          <t>Cameroun</t>
        </is>
      </c>
      <c r="B104" s="213" t="inlineStr">
        <is>
          <t>CM</t>
        </is>
      </c>
      <c r="C104" s="214" t="inlineStr">
        <is>
          <t>Garoua</t>
        </is>
      </c>
      <c r="D104" s="193" t="inlineStr">
        <is>
          <t>BSh</t>
        </is>
      </c>
      <c r="E104" s="214" t="inlineStr">
        <is>
          <t>Semi-aride chaud</t>
        </is>
      </c>
      <c r="F104" s="215" t="n">
        <v>21</v>
      </c>
      <c r="G104" s="215" t="n">
        <v>40</v>
      </c>
      <c r="H104" s="216" t="n">
        <v>29</v>
      </c>
      <c r="I104" s="215" t="n">
        <v>48</v>
      </c>
      <c r="J104" s="216" t="n">
        <v>6</v>
      </c>
      <c r="K104" s="215" t="n">
        <v>19</v>
      </c>
      <c r="L104" s="216" t="n">
        <v>950</v>
      </c>
      <c r="M104" s="214" t="n">
        <v>26.6</v>
      </c>
      <c r="N104" s="214" t="inlineStr">
        <is>
          <t>climate-data.org</t>
        </is>
      </c>
      <c r="O104" s="214" t="n">
        <v>2023</v>
      </c>
      <c r="P104" s="214" t="inlineStr">
        <is>
          <t>Nord — BSh chaud</t>
        </is>
      </c>
      <c r="Q104" s="214" t="n"/>
      <c r="R104" s="214" t="n"/>
      <c r="S104" s="214" t="n"/>
    </row>
    <row r="105">
      <c r="A105" s="212" t="inlineStr">
        <is>
          <t>Cameroun</t>
        </is>
      </c>
      <c r="B105" s="213" t="inlineStr">
        <is>
          <t>CM</t>
        </is>
      </c>
      <c r="C105" s="214" t="inlineStr">
        <is>
          <t>Maroua</t>
        </is>
      </c>
      <c r="D105" s="193" t="inlineStr">
        <is>
          <t>BSh</t>
        </is>
      </c>
      <c r="E105" s="206" t="inlineStr">
        <is>
          <t>Semi-aride chaud</t>
        </is>
      </c>
      <c r="F105" s="170" t="n">
        <v>19</v>
      </c>
      <c r="G105" s="170" t="n">
        <v>42</v>
      </c>
      <c r="H105" s="171" t="n">
        <v>30</v>
      </c>
      <c r="I105" s="170" t="n">
        <v>38</v>
      </c>
      <c r="J105" s="171" t="n">
        <v>6.3</v>
      </c>
      <c r="K105" s="170" t="n">
        <v>23</v>
      </c>
      <c r="L105" s="171" t="n">
        <v>750</v>
      </c>
      <c r="M105" s="206" t="n">
        <v>26.9</v>
      </c>
      <c r="N105" s="206" t="inlineStr">
        <is>
          <t>climate-data.org</t>
        </is>
      </c>
      <c r="O105" s="206" t="n">
        <v>2023</v>
      </c>
      <c r="P105" s="206" t="inlineStr">
        <is>
          <t>Extrême-Nord — BSh extrême</t>
        </is>
      </c>
      <c r="Q105" s="206" t="n"/>
      <c r="R105" s="206" t="n"/>
      <c r="S105" s="206" t="n"/>
    </row>
    <row r="106">
      <c r="A106" s="212" t="inlineStr">
        <is>
          <t>Cameroun</t>
        </is>
      </c>
      <c r="B106" s="213" t="inlineStr">
        <is>
          <t>CM</t>
        </is>
      </c>
      <c r="C106" s="214" t="inlineStr">
        <is>
          <t>Bafoussam</t>
        </is>
      </c>
      <c r="D106" s="179" t="inlineStr">
        <is>
          <t>Aw</t>
        </is>
      </c>
      <c r="E106" s="214" t="inlineStr">
        <is>
          <t>Savane tropicale</t>
        </is>
      </c>
      <c r="F106" s="215" t="n">
        <v>16</v>
      </c>
      <c r="G106" s="215" t="n">
        <v>28</v>
      </c>
      <c r="H106" s="216" t="n">
        <v>22</v>
      </c>
      <c r="I106" s="215" t="n">
        <v>72</v>
      </c>
      <c r="J106" s="216" t="n">
        <v>5</v>
      </c>
      <c r="K106" s="215" t="n">
        <v>12</v>
      </c>
      <c r="L106" s="216" t="n">
        <v>1600</v>
      </c>
      <c r="M106" s="214" t="n">
        <v>24.4</v>
      </c>
      <c r="N106" s="214" t="inlineStr">
        <is>
          <t>climate-data.org</t>
        </is>
      </c>
      <c r="O106" s="214" t="n">
        <v>2023</v>
      </c>
      <c r="P106" s="214" t="inlineStr">
        <is>
          <t>Hauts plateaux — altitude 1500m — Aw frais</t>
        </is>
      </c>
      <c r="Q106" s="214" t="n"/>
      <c r="R106" s="214" t="n"/>
      <c r="S106" s="214" t="n"/>
    </row>
    <row r="107">
      <c r="A107" s="212" t="inlineStr">
        <is>
          <t>Cameroun</t>
        </is>
      </c>
      <c r="B107" s="213" t="inlineStr">
        <is>
          <t>CM</t>
        </is>
      </c>
      <c r="C107" s="214" t="inlineStr">
        <is>
          <t>Bertoua</t>
        </is>
      </c>
      <c r="D107" s="217" t="inlineStr">
        <is>
          <t>Af</t>
        </is>
      </c>
      <c r="E107" s="206" t="inlineStr">
        <is>
          <t>Équatorial</t>
        </is>
      </c>
      <c r="F107" s="170" t="n">
        <v>20</v>
      </c>
      <c r="G107" s="170" t="n">
        <v>31</v>
      </c>
      <c r="H107" s="171" t="n">
        <v>25</v>
      </c>
      <c r="I107" s="170" t="n">
        <v>78</v>
      </c>
      <c r="J107" s="171" t="n">
        <v>4.6</v>
      </c>
      <c r="K107" s="170" t="n">
        <v>11</v>
      </c>
      <c r="L107" s="171" t="n">
        <v>1600</v>
      </c>
      <c r="M107" s="206" t="n">
        <v>25.4</v>
      </c>
      <c r="N107" s="206" t="inlineStr">
        <is>
          <t>climate-data.org</t>
        </is>
      </c>
      <c r="O107" s="206" t="n">
        <v>2023</v>
      </c>
      <c r="P107" s="206" t="inlineStr">
        <is>
          <t>Est — Af forêt</t>
        </is>
      </c>
      <c r="Q107" s="206" t="n"/>
      <c r="R107" s="206" t="n"/>
      <c r="S107" s="206" t="n"/>
    </row>
    <row r="108">
      <c r="A108" s="212" t="inlineStr">
        <is>
          <t>Cameroun</t>
        </is>
      </c>
      <c r="B108" s="213" t="inlineStr">
        <is>
          <t>CM</t>
        </is>
      </c>
      <c r="C108" s="214" t="inlineStr">
        <is>
          <t>Ngaoundéré</t>
        </is>
      </c>
      <c r="D108" s="179" t="inlineStr">
        <is>
          <t>Aw</t>
        </is>
      </c>
      <c r="E108" s="214" t="inlineStr">
        <is>
          <t>Savane tropicale</t>
        </is>
      </c>
      <c r="F108" s="215" t="n">
        <v>15</v>
      </c>
      <c r="G108" s="215" t="n">
        <v>30</v>
      </c>
      <c r="H108" s="216" t="n">
        <v>22</v>
      </c>
      <c r="I108" s="215" t="n">
        <v>65</v>
      </c>
      <c r="J108" s="216" t="n">
        <v>5.4</v>
      </c>
      <c r="K108" s="215" t="n">
        <v>15</v>
      </c>
      <c r="L108" s="216" t="n">
        <v>1500</v>
      </c>
      <c r="M108" s="214" t="n">
        <v>24.4</v>
      </c>
      <c r="N108" s="214" t="inlineStr">
        <is>
          <t>climate-data.org</t>
        </is>
      </c>
      <c r="O108" s="214" t="n">
        <v>2023</v>
      </c>
      <c r="P108" s="214" t="inlineStr">
        <is>
          <t>Adamaoua — altitude 1100m</t>
        </is>
      </c>
      <c r="Q108" s="214" t="n"/>
      <c r="R108" s="214" t="n"/>
      <c r="S108" s="214" t="n"/>
    </row>
    <row r="109">
      <c r="A109" s="212" t="inlineStr">
        <is>
          <t>Cameroun</t>
        </is>
      </c>
      <c r="B109" s="213" t="inlineStr">
        <is>
          <t>CM</t>
        </is>
      </c>
      <c r="C109" s="214" t="inlineStr">
        <is>
          <t>Bamenda</t>
        </is>
      </c>
      <c r="D109" s="179" t="inlineStr">
        <is>
          <t>Aw</t>
        </is>
      </c>
      <c r="E109" s="206" t="inlineStr">
        <is>
          <t>Savane tropicale</t>
        </is>
      </c>
      <c r="F109" s="170" t="n">
        <v>15</v>
      </c>
      <c r="G109" s="170" t="n">
        <v>28</v>
      </c>
      <c r="H109" s="171" t="n">
        <v>22</v>
      </c>
      <c r="I109" s="170" t="n">
        <v>75</v>
      </c>
      <c r="J109" s="171" t="n">
        <v>4.8</v>
      </c>
      <c r="K109" s="170" t="n">
        <v>13</v>
      </c>
      <c r="L109" s="171" t="n">
        <v>2800</v>
      </c>
      <c r="M109" s="206" t="n">
        <v>24.4</v>
      </c>
      <c r="N109" s="206" t="inlineStr">
        <is>
          <t>climate-data.org</t>
        </is>
      </c>
      <c r="O109" s="206" t="n">
        <v>2023</v>
      </c>
      <c r="P109" s="206" t="inlineStr">
        <is>
          <t>Hauts plateaux — Aw humide</t>
        </is>
      </c>
      <c r="Q109" s="206" t="n"/>
      <c r="R109" s="206" t="n"/>
      <c r="S109" s="206" t="n"/>
    </row>
    <row r="110">
      <c r="A110" s="212" t="inlineStr">
        <is>
          <t>Cameroun</t>
        </is>
      </c>
      <c r="B110" s="213" t="inlineStr">
        <is>
          <t>CM</t>
        </is>
      </c>
      <c r="C110" s="214" t="inlineStr">
        <is>
          <t>Kumba</t>
        </is>
      </c>
      <c r="D110" s="168" t="inlineStr">
        <is>
          <t>Am</t>
        </is>
      </c>
      <c r="E110" s="214" t="inlineStr">
        <is>
          <t>Mousson</t>
        </is>
      </c>
      <c r="F110" s="215" t="n">
        <v>21</v>
      </c>
      <c r="G110" s="215" t="n">
        <v>30</v>
      </c>
      <c r="H110" s="216" t="n">
        <v>25</v>
      </c>
      <c r="I110" s="215" t="n">
        <v>82</v>
      </c>
      <c r="J110" s="216" t="n">
        <v>4.7</v>
      </c>
      <c r="K110" s="215" t="n">
        <v>9</v>
      </c>
      <c r="L110" s="216" t="n">
        <v>2800</v>
      </c>
      <c r="M110" s="214" t="n">
        <v>25.4</v>
      </c>
      <c r="N110" s="214" t="inlineStr">
        <is>
          <t>climate-data.org</t>
        </is>
      </c>
      <c r="O110" s="214" t="n">
        <v>2023</v>
      </c>
      <c r="P110" s="214" t="inlineStr">
        <is>
          <t>Sud-Ouest — Am</t>
        </is>
      </c>
      <c r="Q110" s="214" t="n"/>
      <c r="R110" s="214" t="n"/>
      <c r="S110" s="214" t="n"/>
    </row>
    <row r="111">
      <c r="A111" s="212" t="inlineStr">
        <is>
          <t>Cameroun</t>
        </is>
      </c>
      <c r="B111" s="213" t="inlineStr">
        <is>
          <t>CM</t>
        </is>
      </c>
      <c r="C111" s="214" t="inlineStr">
        <is>
          <t>Ebolowa</t>
        </is>
      </c>
      <c r="D111" s="217" t="inlineStr">
        <is>
          <t>Af</t>
        </is>
      </c>
      <c r="E111" s="206" t="inlineStr">
        <is>
          <t>Équatorial</t>
        </is>
      </c>
      <c r="F111" s="170" t="n">
        <v>20</v>
      </c>
      <c r="G111" s="170" t="n">
        <v>30</v>
      </c>
      <c r="H111" s="171" t="n">
        <v>25</v>
      </c>
      <c r="I111" s="170" t="n">
        <v>80</v>
      </c>
      <c r="J111" s="171" t="n">
        <v>4.5</v>
      </c>
      <c r="K111" s="170" t="n">
        <v>10</v>
      </c>
      <c r="L111" s="171" t="n">
        <v>1800</v>
      </c>
      <c r="M111" s="206" t="n">
        <v>25.4</v>
      </c>
      <c r="N111" s="206" t="inlineStr">
        <is>
          <t>climate-data.org</t>
        </is>
      </c>
      <c r="O111" s="206" t="n">
        <v>2023</v>
      </c>
      <c r="P111" s="206" t="inlineStr">
        <is>
          <t>Sud — Af</t>
        </is>
      </c>
      <c r="Q111" s="206" t="n"/>
      <c r="R111" s="206" t="n"/>
      <c r="S111" s="206" t="n"/>
    </row>
    <row r="112">
      <c r="A112" s="218" t="inlineStr">
        <is>
          <t>Ghana</t>
        </is>
      </c>
      <c r="B112" s="219" t="inlineStr">
        <is>
          <t>GH</t>
        </is>
      </c>
      <c r="C112" s="220" t="inlineStr">
        <is>
          <t>Accra</t>
        </is>
      </c>
      <c r="D112" s="179" t="inlineStr">
        <is>
          <t>Aw</t>
        </is>
      </c>
      <c r="E112" s="220" t="inlineStr">
        <is>
          <t>Savane tropicale</t>
        </is>
      </c>
      <c r="F112" s="221" t="n">
        <v>24</v>
      </c>
      <c r="G112" s="221" t="n">
        <v>32</v>
      </c>
      <c r="H112" s="222" t="n">
        <v>27</v>
      </c>
      <c r="I112" s="221" t="n">
        <v>78</v>
      </c>
      <c r="J112" s="222" t="n">
        <v>5.5</v>
      </c>
      <c r="K112" s="221" t="n">
        <v>8</v>
      </c>
      <c r="L112" s="222" t="n">
        <v>700</v>
      </c>
      <c r="M112" s="220" t="n">
        <v>25.9</v>
      </c>
      <c r="N112" s="220" t="inlineStr">
        <is>
          <t>climate-data.org</t>
        </is>
      </c>
      <c r="O112" s="220" t="n">
        <v>2023</v>
      </c>
      <c r="P112" s="220" t="inlineStr">
        <is>
          <t>Capitale — Aw côtier</t>
        </is>
      </c>
      <c r="Q112" s="220" t="n"/>
      <c r="R112" s="220" t="n"/>
      <c r="S112" s="220" t="n"/>
    </row>
    <row r="113">
      <c r="A113" s="218" t="inlineStr">
        <is>
          <t>Ghana</t>
        </is>
      </c>
      <c r="B113" s="219" t="inlineStr">
        <is>
          <t>GH</t>
        </is>
      </c>
      <c r="C113" s="220" t="inlineStr">
        <is>
          <t>Kumasi</t>
        </is>
      </c>
      <c r="D113" s="179" t="inlineStr">
        <is>
          <t>Aw</t>
        </is>
      </c>
      <c r="E113" s="206" t="inlineStr">
        <is>
          <t>Savane tropicale</t>
        </is>
      </c>
      <c r="F113" s="170" t="n">
        <v>22</v>
      </c>
      <c r="G113" s="170" t="n">
        <v>31</v>
      </c>
      <c r="H113" s="171" t="n">
        <v>26</v>
      </c>
      <c r="I113" s="170" t="n">
        <v>78</v>
      </c>
      <c r="J113" s="171" t="n">
        <v>5.4</v>
      </c>
      <c r="K113" s="170" t="n">
        <v>9</v>
      </c>
      <c r="L113" s="171" t="n">
        <v>1400</v>
      </c>
      <c r="M113" s="206" t="n">
        <v>25.7</v>
      </c>
      <c r="N113" s="206" t="inlineStr">
        <is>
          <t>climate-data.org</t>
        </is>
      </c>
      <c r="O113" s="206" t="n">
        <v>2023</v>
      </c>
      <c r="P113" s="206" t="inlineStr">
        <is>
          <t>Ashanti — Aw humide — siège BRRI</t>
        </is>
      </c>
      <c r="Q113" s="206" t="n"/>
      <c r="R113" s="206" t="n"/>
      <c r="S113" s="206" t="n"/>
    </row>
    <row r="114">
      <c r="A114" s="218" t="inlineStr">
        <is>
          <t>Ghana</t>
        </is>
      </c>
      <c r="B114" s="219" t="inlineStr">
        <is>
          <t>GH</t>
        </is>
      </c>
      <c r="C114" s="220" t="inlineStr">
        <is>
          <t>Tamale</t>
        </is>
      </c>
      <c r="D114" s="193" t="inlineStr">
        <is>
          <t>BSh</t>
        </is>
      </c>
      <c r="E114" s="220" t="inlineStr">
        <is>
          <t>Semi-aride chaud</t>
        </is>
      </c>
      <c r="F114" s="221" t="n">
        <v>21</v>
      </c>
      <c r="G114" s="221" t="n">
        <v>37</v>
      </c>
      <c r="H114" s="222" t="n">
        <v>29</v>
      </c>
      <c r="I114" s="221" t="n">
        <v>55</v>
      </c>
      <c r="J114" s="222" t="n">
        <v>5.9</v>
      </c>
      <c r="K114" s="221" t="n">
        <v>16</v>
      </c>
      <c r="L114" s="222" t="n">
        <v>1100</v>
      </c>
      <c r="M114" s="220" t="n">
        <v>26.6</v>
      </c>
      <c r="N114" s="220" t="inlineStr">
        <is>
          <t>climate-data.org</t>
        </is>
      </c>
      <c r="O114" s="220" t="n">
        <v>2023</v>
      </c>
      <c r="P114" s="220" t="inlineStr">
        <is>
          <t>Nord — BSh</t>
        </is>
      </c>
      <c r="Q114" s="220" t="n"/>
      <c r="R114" s="220" t="n"/>
      <c r="S114" s="220" t="n"/>
    </row>
    <row r="115">
      <c r="A115" s="218" t="inlineStr">
        <is>
          <t>Ghana</t>
        </is>
      </c>
      <c r="B115" s="219" t="inlineStr">
        <is>
          <t>GH</t>
        </is>
      </c>
      <c r="C115" s="220" t="inlineStr">
        <is>
          <t>Sekondi-Takoradi</t>
        </is>
      </c>
      <c r="D115" s="168" t="inlineStr">
        <is>
          <t>Am</t>
        </is>
      </c>
      <c r="E115" s="206" t="inlineStr">
        <is>
          <t>Mousson</t>
        </is>
      </c>
      <c r="F115" s="170" t="n">
        <v>24</v>
      </c>
      <c r="G115" s="170" t="n">
        <v>32</v>
      </c>
      <c r="H115" s="171" t="n">
        <v>27</v>
      </c>
      <c r="I115" s="170" t="n">
        <v>80</v>
      </c>
      <c r="J115" s="171" t="n">
        <v>5.3</v>
      </c>
      <c r="K115" s="170" t="n">
        <v>8</v>
      </c>
      <c r="L115" s="171" t="n">
        <v>1300</v>
      </c>
      <c r="M115" s="206" t="n">
        <v>25.9</v>
      </c>
      <c r="N115" s="206" t="inlineStr">
        <is>
          <t>climate-data.org</t>
        </is>
      </c>
      <c r="O115" s="206" t="n">
        <v>2023</v>
      </c>
      <c r="P115" s="206" t="inlineStr">
        <is>
          <t>Côte-Ouest — Am</t>
        </is>
      </c>
      <c r="Q115" s="206" t="n"/>
      <c r="R115" s="206" t="n"/>
      <c r="S115" s="206" t="n"/>
    </row>
    <row r="116">
      <c r="A116" s="218" t="inlineStr">
        <is>
          <t>Ghana</t>
        </is>
      </c>
      <c r="B116" s="219" t="inlineStr">
        <is>
          <t>GH</t>
        </is>
      </c>
      <c r="C116" s="220" t="inlineStr">
        <is>
          <t>Sunyani</t>
        </is>
      </c>
      <c r="D116" s="179" t="inlineStr">
        <is>
          <t>Aw</t>
        </is>
      </c>
      <c r="E116" s="220" t="inlineStr">
        <is>
          <t>Savane tropicale</t>
        </is>
      </c>
      <c r="F116" s="221" t="n">
        <v>21</v>
      </c>
      <c r="G116" s="221" t="n">
        <v>32</v>
      </c>
      <c r="H116" s="222" t="n">
        <v>27</v>
      </c>
      <c r="I116" s="221" t="n">
        <v>75</v>
      </c>
      <c r="J116" s="222" t="n">
        <v>5.5</v>
      </c>
      <c r="K116" s="221" t="n">
        <v>11</v>
      </c>
      <c r="L116" s="222" t="n">
        <v>1400</v>
      </c>
      <c r="M116" s="220" t="n">
        <v>25.9</v>
      </c>
      <c r="N116" s="220" t="inlineStr">
        <is>
          <t>climate-data.org</t>
        </is>
      </c>
      <c r="O116" s="220" t="n">
        <v>2023</v>
      </c>
      <c r="P116" s="220" t="inlineStr">
        <is>
          <t>Brong-Ahafo — Aw</t>
        </is>
      </c>
      <c r="Q116" s="220" t="n"/>
      <c r="R116" s="220" t="n"/>
      <c r="S116" s="220" t="n"/>
    </row>
    <row r="117">
      <c r="A117" s="218" t="inlineStr">
        <is>
          <t>Ghana</t>
        </is>
      </c>
      <c r="B117" s="219" t="inlineStr">
        <is>
          <t>GH</t>
        </is>
      </c>
      <c r="C117" s="220" t="inlineStr">
        <is>
          <t>Bolgatanga</t>
        </is>
      </c>
      <c r="D117" s="193" t="inlineStr">
        <is>
          <t>BSh</t>
        </is>
      </c>
      <c r="E117" s="206" t="inlineStr">
        <is>
          <t>Semi-aride chaud</t>
        </is>
      </c>
      <c r="F117" s="170" t="n">
        <v>19</v>
      </c>
      <c r="G117" s="170" t="n">
        <v>38</v>
      </c>
      <c r="H117" s="171" t="n">
        <v>28</v>
      </c>
      <c r="I117" s="170" t="n">
        <v>50</v>
      </c>
      <c r="J117" s="171" t="n">
        <v>6</v>
      </c>
      <c r="K117" s="170" t="n">
        <v>19</v>
      </c>
      <c r="L117" s="171" t="n">
        <v>900</v>
      </c>
      <c r="M117" s="206" t="n">
        <v>26.3</v>
      </c>
      <c r="N117" s="206" t="inlineStr">
        <is>
          <t>climate-data.org</t>
        </is>
      </c>
      <c r="O117" s="206" t="n">
        <v>2023</v>
      </c>
      <c r="P117" s="206" t="inlineStr">
        <is>
          <t>Nord — BSh</t>
        </is>
      </c>
      <c r="Q117" s="206" t="n"/>
      <c r="R117" s="206" t="n"/>
      <c r="S117" s="206" t="n"/>
    </row>
    <row r="118">
      <c r="A118" s="218" t="inlineStr">
        <is>
          <t>Ghana</t>
        </is>
      </c>
      <c r="B118" s="219" t="inlineStr">
        <is>
          <t>GH</t>
        </is>
      </c>
      <c r="C118" s="220" t="inlineStr">
        <is>
          <t>Cape Coast</t>
        </is>
      </c>
      <c r="D118" s="168" t="inlineStr">
        <is>
          <t>Am</t>
        </is>
      </c>
      <c r="E118" s="220" t="inlineStr">
        <is>
          <t>Mousson</t>
        </is>
      </c>
      <c r="F118" s="221" t="n">
        <v>24</v>
      </c>
      <c r="G118" s="221" t="n">
        <v>31</v>
      </c>
      <c r="H118" s="222" t="n">
        <v>27</v>
      </c>
      <c r="I118" s="221" t="n">
        <v>80</v>
      </c>
      <c r="J118" s="222" t="n">
        <v>5.2</v>
      </c>
      <c r="K118" s="221" t="n">
        <v>7</v>
      </c>
      <c r="L118" s="222" t="n">
        <v>1100</v>
      </c>
      <c r="M118" s="220" t="n">
        <v>25.9</v>
      </c>
      <c r="N118" s="220" t="inlineStr">
        <is>
          <t>climate-data.org</t>
        </is>
      </c>
      <c r="O118" s="220" t="n">
        <v>2023</v>
      </c>
      <c r="P118" s="220" t="inlineStr">
        <is>
          <t>Côte centrale — Am</t>
        </is>
      </c>
      <c r="Q118" s="220" t="n"/>
      <c r="R118" s="220" t="n"/>
      <c r="S118" s="220" t="n"/>
    </row>
    <row r="119">
      <c r="A119" s="218" t="inlineStr">
        <is>
          <t>Ghana</t>
        </is>
      </c>
      <c r="B119" s="219" t="inlineStr">
        <is>
          <t>GH</t>
        </is>
      </c>
      <c r="C119" s="220" t="inlineStr">
        <is>
          <t>Wa</t>
        </is>
      </c>
      <c r="D119" s="193" t="inlineStr">
        <is>
          <t>BSh</t>
        </is>
      </c>
      <c r="E119" s="206" t="inlineStr">
        <is>
          <t>Semi-aride chaud</t>
        </is>
      </c>
      <c r="F119" s="170" t="n">
        <v>20</v>
      </c>
      <c r="G119" s="170" t="n">
        <v>38</v>
      </c>
      <c r="H119" s="171" t="n">
        <v>29</v>
      </c>
      <c r="I119" s="170" t="n">
        <v>52</v>
      </c>
      <c r="J119" s="171" t="n">
        <v>5.9</v>
      </c>
      <c r="K119" s="170" t="n">
        <v>18</v>
      </c>
      <c r="L119" s="171" t="n">
        <v>1050</v>
      </c>
      <c r="M119" s="206" t="n">
        <v>26.6</v>
      </c>
      <c r="N119" s="206" t="inlineStr">
        <is>
          <t>climate-data.org</t>
        </is>
      </c>
      <c r="O119" s="206" t="n">
        <v>2023</v>
      </c>
      <c r="P119" s="206" t="inlineStr">
        <is>
          <t>Haut-Ouest — BSh</t>
        </is>
      </c>
      <c r="Q119" s="206" t="n"/>
      <c r="R119" s="206" t="n"/>
      <c r="S119" s="206" t="n"/>
    </row>
    <row r="120">
      <c r="A120" s="223" t="inlineStr">
        <is>
          <t>Sénégal</t>
        </is>
      </c>
      <c r="B120" s="224" t="inlineStr">
        <is>
          <t>SN</t>
        </is>
      </c>
      <c r="C120" s="225" t="inlineStr">
        <is>
          <t>Dakar</t>
        </is>
      </c>
      <c r="D120" s="193" t="inlineStr">
        <is>
          <t>BSh</t>
        </is>
      </c>
      <c r="E120" s="225" t="inlineStr">
        <is>
          <t>Semi-aride chaud</t>
        </is>
      </c>
      <c r="F120" s="226" t="n">
        <v>19</v>
      </c>
      <c r="G120" s="226" t="n">
        <v>30</v>
      </c>
      <c r="H120" s="227" t="n">
        <v>25</v>
      </c>
      <c r="I120" s="226" t="n">
        <v>72</v>
      </c>
      <c r="J120" s="227" t="n">
        <v>5.8</v>
      </c>
      <c r="K120" s="226" t="n">
        <v>11</v>
      </c>
      <c r="L120" s="227" t="n">
        <v>490</v>
      </c>
      <c r="M120" s="225" t="n">
        <v>25.4</v>
      </c>
      <c r="N120" s="225" t="inlineStr">
        <is>
          <t>climate-data.org</t>
        </is>
      </c>
      <c r="O120" s="225" t="n">
        <v>2023</v>
      </c>
      <c r="P120" s="225" t="inlineStr">
        <is>
          <t>Capitale côtière — BSh côtier influencé océan</t>
        </is>
      </c>
      <c r="Q120" s="225" t="n"/>
      <c r="R120" s="225" t="n"/>
      <c r="S120" s="225" t="n"/>
    </row>
    <row r="121">
      <c r="A121" s="223" t="inlineStr">
        <is>
          <t>Sénégal</t>
        </is>
      </c>
      <c r="B121" s="224" t="inlineStr">
        <is>
          <t>SN</t>
        </is>
      </c>
      <c r="C121" s="225" t="inlineStr">
        <is>
          <t>Thiès</t>
        </is>
      </c>
      <c r="D121" s="193" t="inlineStr">
        <is>
          <t>BSh</t>
        </is>
      </c>
      <c r="E121" s="206" t="inlineStr">
        <is>
          <t>Semi-aride chaud</t>
        </is>
      </c>
      <c r="F121" s="170" t="n">
        <v>18</v>
      </c>
      <c r="G121" s="170" t="n">
        <v>32</v>
      </c>
      <c r="H121" s="171" t="n">
        <v>25</v>
      </c>
      <c r="I121" s="170" t="n">
        <v>68</v>
      </c>
      <c r="J121" s="171" t="n">
        <v>5.9</v>
      </c>
      <c r="K121" s="170" t="n">
        <v>14</v>
      </c>
      <c r="L121" s="171" t="n">
        <v>530</v>
      </c>
      <c r="M121" s="206" t="n">
        <v>25.4</v>
      </c>
      <c r="N121" s="206" t="inlineStr">
        <is>
          <t>climate-data.org</t>
        </is>
      </c>
      <c r="O121" s="206" t="n">
        <v>2023</v>
      </c>
      <c r="P121" s="206" t="inlineStr">
        <is>
          <t>Zone latérite — BSh</t>
        </is>
      </c>
      <c r="Q121" s="206" t="n"/>
      <c r="R121" s="206" t="n"/>
      <c r="S121" s="206" t="n"/>
    </row>
    <row r="122">
      <c r="A122" s="223" t="inlineStr">
        <is>
          <t>Sénégal</t>
        </is>
      </c>
      <c r="B122" s="224" t="inlineStr">
        <is>
          <t>SN</t>
        </is>
      </c>
      <c r="C122" s="225" t="inlineStr">
        <is>
          <t>Kaolack</t>
        </is>
      </c>
      <c r="D122" s="193" t="inlineStr">
        <is>
          <t>BSh</t>
        </is>
      </c>
      <c r="E122" s="225" t="inlineStr">
        <is>
          <t>Semi-aride chaud</t>
        </is>
      </c>
      <c r="F122" s="226" t="n">
        <v>18</v>
      </c>
      <c r="G122" s="226" t="n">
        <v>35</v>
      </c>
      <c r="H122" s="227" t="n">
        <v>27</v>
      </c>
      <c r="I122" s="226" t="n">
        <v>62</v>
      </c>
      <c r="J122" s="227" t="n">
        <v>6</v>
      </c>
      <c r="K122" s="226" t="n">
        <v>17</v>
      </c>
      <c r="L122" s="227" t="n">
        <v>700</v>
      </c>
      <c r="M122" s="225" t="n">
        <v>26</v>
      </c>
      <c r="N122" s="225" t="inlineStr">
        <is>
          <t>climate-data.org</t>
        </is>
      </c>
      <c r="O122" s="225" t="n">
        <v>2023</v>
      </c>
      <c r="P122" s="225" t="inlineStr">
        <is>
          <t>Centre — BSh plus chaud</t>
        </is>
      </c>
      <c r="Q122" s="225" t="n"/>
      <c r="R122" s="225" t="n"/>
      <c r="S122" s="225" t="n"/>
    </row>
    <row r="123">
      <c r="A123" s="223" t="inlineStr">
        <is>
          <t>Sénégal</t>
        </is>
      </c>
      <c r="B123" s="224" t="inlineStr">
        <is>
          <t>SN</t>
        </is>
      </c>
      <c r="C123" s="225" t="inlineStr">
        <is>
          <t>Saint-Louis</t>
        </is>
      </c>
      <c r="D123" s="193" t="inlineStr">
        <is>
          <t>BSh</t>
        </is>
      </c>
      <c r="E123" s="206" t="inlineStr">
        <is>
          <t>Semi-aride chaud</t>
        </is>
      </c>
      <c r="F123" s="170" t="n">
        <v>17</v>
      </c>
      <c r="G123" s="170" t="n">
        <v>32</v>
      </c>
      <c r="H123" s="171" t="n">
        <v>24</v>
      </c>
      <c r="I123" s="170" t="n">
        <v>68</v>
      </c>
      <c r="J123" s="171" t="n">
        <v>5.8</v>
      </c>
      <c r="K123" s="170" t="n">
        <v>15</v>
      </c>
      <c r="L123" s="171" t="n">
        <v>380</v>
      </c>
      <c r="M123" s="206" t="n">
        <v>25</v>
      </c>
      <c r="N123" s="206" t="inlineStr">
        <is>
          <t>climate-data.org</t>
        </is>
      </c>
      <c r="O123" s="206" t="n">
        <v>2023</v>
      </c>
      <c r="P123" s="206" t="inlineStr">
        <is>
          <t>Nord côtier — BSh</t>
        </is>
      </c>
      <c r="Q123" s="206" t="n"/>
      <c r="R123" s="206" t="n"/>
      <c r="S123" s="206" t="n"/>
    </row>
    <row r="124">
      <c r="A124" s="223" t="inlineStr">
        <is>
          <t>Sénégal</t>
        </is>
      </c>
      <c r="B124" s="224" t="inlineStr">
        <is>
          <t>SN</t>
        </is>
      </c>
      <c r="C124" s="225" t="inlineStr">
        <is>
          <t>Ziguinchor</t>
        </is>
      </c>
      <c r="D124" s="179" t="inlineStr">
        <is>
          <t>Aw</t>
        </is>
      </c>
      <c r="E124" s="225" t="inlineStr">
        <is>
          <t>Savane tropicale</t>
        </is>
      </c>
      <c r="F124" s="226" t="n">
        <v>22</v>
      </c>
      <c r="G124" s="226" t="n">
        <v>35</v>
      </c>
      <c r="H124" s="227" t="n">
        <v>29</v>
      </c>
      <c r="I124" s="226" t="n">
        <v>72</v>
      </c>
      <c r="J124" s="227" t="n">
        <v>5.7</v>
      </c>
      <c r="K124" s="226" t="n">
        <v>13</v>
      </c>
      <c r="L124" s="227" t="n">
        <v>1500</v>
      </c>
      <c r="M124" s="225" t="n">
        <v>26.6</v>
      </c>
      <c r="N124" s="225" t="inlineStr">
        <is>
          <t>climate-data.org</t>
        </is>
      </c>
      <c r="O124" s="225" t="n">
        <v>2023</v>
      </c>
      <c r="P124" s="225" t="inlineStr">
        <is>
          <t>Casamance — Aw humide — Zone Typha australis</t>
        </is>
      </c>
      <c r="Q124" s="225" t="n"/>
      <c r="R124" s="225" t="n"/>
      <c r="S124" s="225" t="n"/>
    </row>
    <row r="125">
      <c r="A125" s="223" t="inlineStr">
        <is>
          <t>Sénégal</t>
        </is>
      </c>
      <c r="B125" s="224" t="inlineStr">
        <is>
          <t>SN</t>
        </is>
      </c>
      <c r="C125" s="225" t="inlineStr">
        <is>
          <t>Tambacounda</t>
        </is>
      </c>
      <c r="D125" s="193" t="inlineStr">
        <is>
          <t>BSh</t>
        </is>
      </c>
      <c r="E125" s="206" t="inlineStr">
        <is>
          <t>Semi-aride chaud</t>
        </is>
      </c>
      <c r="F125" s="170" t="n">
        <v>19</v>
      </c>
      <c r="G125" s="170" t="n">
        <v>38</v>
      </c>
      <c r="H125" s="171" t="n">
        <v>29</v>
      </c>
      <c r="I125" s="170" t="n">
        <v>54</v>
      </c>
      <c r="J125" s="171" t="n">
        <v>6.1</v>
      </c>
      <c r="K125" s="170" t="n">
        <v>19</v>
      </c>
      <c r="L125" s="171" t="n">
        <v>900</v>
      </c>
      <c r="M125" s="206" t="n">
        <v>26.6</v>
      </c>
      <c r="N125" s="206" t="inlineStr">
        <is>
          <t>climate-data.org</t>
        </is>
      </c>
      <c r="O125" s="206" t="n">
        <v>2023</v>
      </c>
      <c r="P125" s="206" t="inlineStr">
        <is>
          <t>Est — BSh chaud</t>
        </is>
      </c>
      <c r="Q125" s="206" t="n"/>
      <c r="R125" s="206" t="n"/>
      <c r="S125" s="206" t="n"/>
    </row>
    <row r="126">
      <c r="A126" s="223" t="inlineStr">
        <is>
          <t>Sénégal</t>
        </is>
      </c>
      <c r="B126" s="224" t="inlineStr">
        <is>
          <t>SN</t>
        </is>
      </c>
      <c r="C126" s="225" t="inlineStr">
        <is>
          <t>Touba</t>
        </is>
      </c>
      <c r="D126" s="193" t="inlineStr">
        <is>
          <t>BSh</t>
        </is>
      </c>
      <c r="E126" s="225" t="inlineStr">
        <is>
          <t>Semi-aride chaud</t>
        </is>
      </c>
      <c r="F126" s="226" t="n">
        <v>17</v>
      </c>
      <c r="G126" s="226" t="n">
        <v>37</v>
      </c>
      <c r="H126" s="227" t="n">
        <v>28</v>
      </c>
      <c r="I126" s="226" t="n">
        <v>52</v>
      </c>
      <c r="J126" s="227" t="n">
        <v>6</v>
      </c>
      <c r="K126" s="226" t="n">
        <v>20</v>
      </c>
      <c r="L126" s="227" t="n">
        <v>600</v>
      </c>
      <c r="M126" s="225" t="n">
        <v>26.3</v>
      </c>
      <c r="N126" s="225" t="inlineStr">
        <is>
          <t>climate-data.org</t>
        </is>
      </c>
      <c r="O126" s="225" t="n">
        <v>2023</v>
      </c>
      <c r="P126" s="225" t="inlineStr">
        <is>
          <t>Centre — BSh</t>
        </is>
      </c>
      <c r="Q126" s="225" t="n"/>
      <c r="R126" s="225" t="n"/>
      <c r="S126" s="225" t="n"/>
    </row>
    <row r="127">
      <c r="A127" s="223" t="inlineStr">
        <is>
          <t>Sénégal</t>
        </is>
      </c>
      <c r="B127" s="224" t="inlineStr">
        <is>
          <t>SN</t>
        </is>
      </c>
      <c r="C127" s="225" t="inlineStr">
        <is>
          <t>Kolda</t>
        </is>
      </c>
      <c r="D127" s="179" t="inlineStr">
        <is>
          <t>Aw</t>
        </is>
      </c>
      <c r="E127" s="206" t="inlineStr">
        <is>
          <t>Savane tropicale</t>
        </is>
      </c>
      <c r="F127" s="170" t="n">
        <v>21</v>
      </c>
      <c r="G127" s="170" t="n">
        <v>36</v>
      </c>
      <c r="H127" s="171" t="n">
        <v>29</v>
      </c>
      <c r="I127" s="170" t="n">
        <v>65</v>
      </c>
      <c r="J127" s="171" t="n">
        <v>5.8</v>
      </c>
      <c r="K127" s="170" t="n">
        <v>15</v>
      </c>
      <c r="L127" s="171" t="n">
        <v>1200</v>
      </c>
      <c r="M127" s="206" t="n">
        <v>26.6</v>
      </c>
      <c r="N127" s="206" t="inlineStr">
        <is>
          <t>climate-data.org</t>
        </is>
      </c>
      <c r="O127" s="206" t="n">
        <v>2023</v>
      </c>
      <c r="P127" s="206" t="inlineStr">
        <is>
          <t>Casamance nord — Aw</t>
        </is>
      </c>
      <c r="Q127" s="206" t="n"/>
      <c r="R127" s="206" t="n"/>
      <c r="S127" s="206" t="n"/>
    </row>
    <row r="128">
      <c r="A128" s="228" t="inlineStr">
        <is>
          <t>Kenya</t>
        </is>
      </c>
      <c r="B128" s="229" t="inlineStr">
        <is>
          <t>KE</t>
        </is>
      </c>
      <c r="C128" s="230" t="inlineStr">
        <is>
          <t>Nairobi</t>
        </is>
      </c>
      <c r="D128" s="302" t="inlineStr">
        <is>
          <t>Cfb</t>
        </is>
      </c>
      <c r="E128" s="301" t="inlineStr">
        <is>
          <t>Océanique tempéré d'altitude (~1650 m) — Tmoy 18-19°C, amplitude annuelle faible</t>
        </is>
      </c>
      <c r="F128" s="231" t="n">
        <v>12</v>
      </c>
      <c r="G128" s="231" t="n">
        <v>26</v>
      </c>
      <c r="H128" s="232" t="n">
        <v>18</v>
      </c>
      <c r="I128" s="231" t="n">
        <v>65</v>
      </c>
      <c r="J128" s="232" t="n">
        <v>5.5</v>
      </c>
      <c r="K128" s="231" t="n">
        <v>14</v>
      </c>
      <c r="L128" s="232" t="n">
        <v>860</v>
      </c>
      <c r="M128" s="230" t="n">
        <v>23.2</v>
      </c>
      <c r="N128" s="230" t="inlineStr">
        <is>
          <t>climate-data.org + ERA5</t>
        </is>
      </c>
      <c r="O128" s="230" t="n">
        <v>2023</v>
      </c>
      <c r="P128" s="301" t="inlineStr">
        <is>
          <t>CORRECTION v6 : Reclassification Köppen Aw→Cfb (climate-data.org + profil UCT). Altitude et amplitude annuelle incompatibles avec Aw.</t>
        </is>
      </c>
      <c r="Q128" s="230" t="n"/>
      <c r="R128" s="230" t="n"/>
      <c r="S128" s="230" t="n"/>
    </row>
    <row r="129">
      <c r="A129" s="228" t="inlineStr">
        <is>
          <t>Kenya</t>
        </is>
      </c>
      <c r="B129" s="229" t="inlineStr">
        <is>
          <t>KE</t>
        </is>
      </c>
      <c r="C129" s="230" t="inlineStr">
        <is>
          <t>Mombasa</t>
        </is>
      </c>
      <c r="D129" s="168" t="inlineStr">
        <is>
          <t>Am</t>
        </is>
      </c>
      <c r="E129" s="206" t="inlineStr">
        <is>
          <t>Mousson côtier</t>
        </is>
      </c>
      <c r="F129" s="170" t="n">
        <v>24</v>
      </c>
      <c r="G129" s="170" t="n">
        <v>34</v>
      </c>
      <c r="H129" s="171" t="n">
        <v>28</v>
      </c>
      <c r="I129" s="170" t="n">
        <v>80</v>
      </c>
      <c r="J129" s="171" t="n">
        <v>5.3</v>
      </c>
      <c r="K129" s="170" t="n">
        <v>10</v>
      </c>
      <c r="L129" s="171" t="n">
        <v>1200</v>
      </c>
      <c r="M129" s="206" t="n">
        <v>26.3</v>
      </c>
      <c r="N129" s="206" t="inlineStr">
        <is>
          <t>climate-data.org</t>
        </is>
      </c>
      <c r="O129" s="206" t="n">
        <v>2023</v>
      </c>
      <c r="P129" s="206" t="inlineStr">
        <is>
          <t>Côte océan Indien — Am</t>
        </is>
      </c>
      <c r="Q129" s="206" t="n"/>
      <c r="R129" s="206" t="n"/>
      <c r="S129" s="206" t="n"/>
    </row>
    <row r="130">
      <c r="A130" s="228" t="inlineStr">
        <is>
          <t>Kenya</t>
        </is>
      </c>
      <c r="B130" s="229" t="inlineStr">
        <is>
          <t>KE</t>
        </is>
      </c>
      <c r="C130" s="230" t="inlineStr">
        <is>
          <t>Kisumu</t>
        </is>
      </c>
      <c r="D130" s="179" t="inlineStr">
        <is>
          <t>Aw</t>
        </is>
      </c>
      <c r="E130" s="230" t="inlineStr">
        <is>
          <t>Savane tropicale</t>
        </is>
      </c>
      <c r="F130" s="231" t="n">
        <v>17</v>
      </c>
      <c r="G130" s="231" t="n">
        <v>30</v>
      </c>
      <c r="H130" s="232" t="n">
        <v>23</v>
      </c>
      <c r="I130" s="231" t="n">
        <v>70</v>
      </c>
      <c r="J130" s="232" t="n">
        <v>5.5</v>
      </c>
      <c r="K130" s="231" t="n">
        <v>13</v>
      </c>
      <c r="L130" s="232" t="n">
        <v>1200</v>
      </c>
      <c r="M130" s="230" t="n">
        <v>24.7</v>
      </c>
      <c r="N130" s="230" t="inlineStr">
        <is>
          <t>climate-data.org</t>
        </is>
      </c>
      <c r="O130" s="230" t="n">
        <v>2023</v>
      </c>
      <c r="P130" s="230" t="inlineStr">
        <is>
          <t>Lac Victoria — Aw</t>
        </is>
      </c>
      <c r="Q130" s="230" t="n"/>
      <c r="R130" s="230" t="n"/>
      <c r="S130" s="230" t="n"/>
    </row>
    <row r="131">
      <c r="A131" s="228" t="inlineStr">
        <is>
          <t>Kenya</t>
        </is>
      </c>
      <c r="B131" s="229" t="inlineStr">
        <is>
          <t>KE</t>
        </is>
      </c>
      <c r="C131" s="230" t="inlineStr">
        <is>
          <t>Nakuru</t>
        </is>
      </c>
      <c r="D131" s="179" t="inlineStr">
        <is>
          <t>Aw</t>
        </is>
      </c>
      <c r="E131" s="206" t="inlineStr">
        <is>
          <t>Savane tropicale</t>
        </is>
      </c>
      <c r="F131" s="170" t="n">
        <v>12</v>
      </c>
      <c r="G131" s="170" t="n">
        <v>27</v>
      </c>
      <c r="H131" s="171" t="n">
        <v>19</v>
      </c>
      <c r="I131" s="170" t="n">
        <v>68</v>
      </c>
      <c r="J131" s="171" t="n">
        <v>5.6</v>
      </c>
      <c r="K131" s="170" t="n">
        <v>15</v>
      </c>
      <c r="L131" s="171" t="n">
        <v>900</v>
      </c>
      <c r="M131" s="206" t="n">
        <v>23.5</v>
      </c>
      <c r="N131" s="206" t="inlineStr">
        <is>
          <t>climate-data.org</t>
        </is>
      </c>
      <c r="O131" s="206" t="n">
        <v>2023</v>
      </c>
      <c r="P131" s="206" t="inlineStr">
        <is>
          <t>Vallée du Rift — altitude 1850m</t>
        </is>
      </c>
      <c r="Q131" s="206" t="n"/>
      <c r="R131" s="206" t="n"/>
      <c r="S131" s="206" t="n"/>
    </row>
    <row r="132">
      <c r="A132" s="228" t="inlineStr">
        <is>
          <t>Kenya</t>
        </is>
      </c>
      <c r="B132" s="229" t="inlineStr">
        <is>
          <t>KE</t>
        </is>
      </c>
      <c r="C132" s="230" t="inlineStr">
        <is>
          <t>Eldoret</t>
        </is>
      </c>
      <c r="D132" s="179" t="inlineStr">
        <is>
          <t>Aw</t>
        </is>
      </c>
      <c r="E132" s="230" t="inlineStr">
        <is>
          <t>Savane tropicale</t>
        </is>
      </c>
      <c r="F132" s="231" t="n">
        <v>10</v>
      </c>
      <c r="G132" s="231" t="n">
        <v>27</v>
      </c>
      <c r="H132" s="232" t="n">
        <v>18</v>
      </c>
      <c r="I132" s="231" t="n">
        <v>68</v>
      </c>
      <c r="J132" s="232" t="n">
        <v>5.4</v>
      </c>
      <c r="K132" s="231" t="n">
        <v>17</v>
      </c>
      <c r="L132" s="232" t="n">
        <v>1000</v>
      </c>
      <c r="M132" s="230" t="n">
        <v>23.2</v>
      </c>
      <c r="N132" s="230" t="inlineStr">
        <is>
          <t>climate-data.org</t>
        </is>
      </c>
      <c r="O132" s="230" t="n">
        <v>2023</v>
      </c>
      <c r="P132" s="230" t="inlineStr">
        <is>
          <t>Hautes terres — altitude 2100m</t>
        </is>
      </c>
      <c r="Q132" s="230" t="n"/>
      <c r="R132" s="230" t="n"/>
      <c r="S132" s="230" t="n"/>
    </row>
    <row r="133">
      <c r="A133" s="228" t="inlineStr">
        <is>
          <t>Kenya</t>
        </is>
      </c>
      <c r="B133" s="229" t="inlineStr">
        <is>
          <t>KE</t>
        </is>
      </c>
      <c r="C133" s="230" t="inlineStr">
        <is>
          <t>Garissa</t>
        </is>
      </c>
      <c r="D133" s="233" t="inlineStr">
        <is>
          <t>BWh</t>
        </is>
      </c>
      <c r="E133" s="206" t="inlineStr">
        <is>
          <t>Désert chaud</t>
        </is>
      </c>
      <c r="F133" s="170" t="n">
        <v>21</v>
      </c>
      <c r="G133" s="170" t="n">
        <v>40</v>
      </c>
      <c r="H133" s="171" t="n">
        <v>29</v>
      </c>
      <c r="I133" s="170" t="n">
        <v>38</v>
      </c>
      <c r="J133" s="171" t="n">
        <v>6.3</v>
      </c>
      <c r="K133" s="170" t="n">
        <v>19</v>
      </c>
      <c r="L133" s="171" t="n">
        <v>280</v>
      </c>
      <c r="M133" s="206" t="n">
        <v>26.6</v>
      </c>
      <c r="N133" s="206" t="inlineStr">
        <is>
          <t>climate-data.org</t>
        </is>
      </c>
      <c r="O133" s="206" t="n">
        <v>2023</v>
      </c>
      <c r="P133" s="206" t="inlineStr">
        <is>
          <t>Nord-Est aride — BWh</t>
        </is>
      </c>
      <c r="Q133" s="206" t="n"/>
      <c r="R133" s="206" t="n"/>
      <c r="S133" s="206" t="n"/>
    </row>
    <row r="134">
      <c r="A134" s="228" t="inlineStr">
        <is>
          <t>Kenya</t>
        </is>
      </c>
      <c r="B134" s="229" t="inlineStr">
        <is>
          <t>KE</t>
        </is>
      </c>
      <c r="C134" s="230" t="inlineStr">
        <is>
          <t>Malindi</t>
        </is>
      </c>
      <c r="D134" s="168" t="inlineStr">
        <is>
          <t>Am</t>
        </is>
      </c>
      <c r="E134" s="230" t="inlineStr">
        <is>
          <t>Mousson côtier</t>
        </is>
      </c>
      <c r="F134" s="231" t="n">
        <v>24</v>
      </c>
      <c r="G134" s="231" t="n">
        <v>33</v>
      </c>
      <c r="H134" s="232" t="n">
        <v>28</v>
      </c>
      <c r="I134" s="231" t="n">
        <v>78</v>
      </c>
      <c r="J134" s="232" t="n">
        <v>5.4</v>
      </c>
      <c r="K134" s="231" t="n">
        <v>9</v>
      </c>
      <c r="L134" s="232" t="n">
        <v>1000</v>
      </c>
      <c r="M134" s="230" t="n">
        <v>26.3</v>
      </c>
      <c r="N134" s="230" t="inlineStr">
        <is>
          <t>climate-data.org</t>
        </is>
      </c>
      <c r="O134" s="230" t="n">
        <v>2023</v>
      </c>
      <c r="P134" s="230" t="inlineStr">
        <is>
          <t>Côte nord — Am</t>
        </is>
      </c>
      <c r="Q134" s="230" t="n"/>
      <c r="R134" s="230" t="n"/>
      <c r="S134" s="230" t="n"/>
    </row>
    <row r="135">
      <c r="A135" s="228" t="inlineStr">
        <is>
          <t>Kenya</t>
        </is>
      </c>
      <c r="B135" s="229" t="inlineStr">
        <is>
          <t>KE</t>
        </is>
      </c>
      <c r="C135" s="230" t="inlineStr">
        <is>
          <t>Thika</t>
        </is>
      </c>
      <c r="D135" s="179" t="inlineStr">
        <is>
          <t>Aw</t>
        </is>
      </c>
      <c r="E135" s="206" t="inlineStr">
        <is>
          <t>Savane tropicale</t>
        </is>
      </c>
      <c r="F135" s="170" t="n">
        <v>15</v>
      </c>
      <c r="G135" s="170" t="n">
        <v>28</v>
      </c>
      <c r="H135" s="171" t="n">
        <v>21</v>
      </c>
      <c r="I135" s="170" t="n">
        <v>68</v>
      </c>
      <c r="J135" s="171" t="n">
        <v>5.5</v>
      </c>
      <c r="K135" s="170" t="n">
        <v>13</v>
      </c>
      <c r="L135" s="171" t="n">
        <v>1050</v>
      </c>
      <c r="M135" s="206" t="n">
        <v>24.1</v>
      </c>
      <c r="N135" s="206" t="inlineStr">
        <is>
          <t>climate-data.org</t>
        </is>
      </c>
      <c r="O135" s="206" t="n">
        <v>2023</v>
      </c>
      <c r="P135" s="206" t="inlineStr">
        <is>
          <t>Périphérie Nairobi — altitude 1500m</t>
        </is>
      </c>
      <c r="Q135" s="206" t="n"/>
      <c r="R135" s="206" t="n"/>
      <c r="S135" s="206" t="n"/>
    </row>
    <row r="136">
      <c r="A136" s="234" t="inlineStr">
        <is>
          <t>Mali</t>
        </is>
      </c>
      <c r="B136" s="235" t="inlineStr">
        <is>
          <t>ML</t>
        </is>
      </c>
      <c r="C136" s="236" t="inlineStr">
        <is>
          <t>Bamako</t>
        </is>
      </c>
      <c r="D136" s="193" t="inlineStr">
        <is>
          <t>BSh</t>
        </is>
      </c>
      <c r="E136" s="236" t="inlineStr">
        <is>
          <t>Semi-aride chaud</t>
        </is>
      </c>
      <c r="F136" s="237" t="n">
        <v>20</v>
      </c>
      <c r="G136" s="237" t="n">
        <v>40</v>
      </c>
      <c r="H136" s="238" t="n">
        <v>30</v>
      </c>
      <c r="I136" s="237" t="n">
        <v>48</v>
      </c>
      <c r="J136" s="238" t="n">
        <v>6.2</v>
      </c>
      <c r="K136" s="237" t="n">
        <v>20</v>
      </c>
      <c r="L136" s="238" t="n">
        <v>1000</v>
      </c>
      <c r="M136" s="236" t="n">
        <v>26.9</v>
      </c>
      <c r="N136" s="236" t="inlineStr">
        <is>
          <t>climate-data.org</t>
        </is>
      </c>
      <c r="O136" s="236" t="n">
        <v>2023</v>
      </c>
      <c r="P136" s="236" t="inlineStr">
        <is>
          <t>Capitale — BSh référence</t>
        </is>
      </c>
      <c r="Q136" s="236" t="n"/>
      <c r="R136" s="236" t="n"/>
      <c r="S136" s="236" t="n"/>
    </row>
    <row r="137">
      <c r="A137" s="234" t="inlineStr">
        <is>
          <t>Mali</t>
        </is>
      </c>
      <c r="B137" s="235" t="inlineStr">
        <is>
          <t>ML</t>
        </is>
      </c>
      <c r="C137" s="236" t="inlineStr">
        <is>
          <t>Sikasso</t>
        </is>
      </c>
      <c r="D137" s="179" t="inlineStr">
        <is>
          <t>Aw</t>
        </is>
      </c>
      <c r="E137" s="206" t="inlineStr">
        <is>
          <t>Savane tropicale</t>
        </is>
      </c>
      <c r="F137" s="170" t="n">
        <v>19</v>
      </c>
      <c r="G137" s="170" t="n">
        <v>36</v>
      </c>
      <c r="H137" s="171" t="n">
        <v>28</v>
      </c>
      <c r="I137" s="170" t="n">
        <v>60</v>
      </c>
      <c r="J137" s="171" t="n">
        <v>5.9</v>
      </c>
      <c r="K137" s="170" t="n">
        <v>17</v>
      </c>
      <c r="L137" s="171" t="n">
        <v>1100</v>
      </c>
      <c r="M137" s="206" t="n">
        <v>26.3</v>
      </c>
      <c r="N137" s="206" t="inlineStr">
        <is>
          <t>climate-data.org</t>
        </is>
      </c>
      <c r="O137" s="206" t="n">
        <v>2023</v>
      </c>
      <c r="P137" s="206" t="inlineStr">
        <is>
          <t>Sud — Aw — plus humide</t>
        </is>
      </c>
      <c r="Q137" s="206" t="n"/>
      <c r="R137" s="206" t="n"/>
      <c r="S137" s="206" t="n"/>
    </row>
    <row r="138">
      <c r="A138" s="234" t="inlineStr">
        <is>
          <t>Mali</t>
        </is>
      </c>
      <c r="B138" s="235" t="inlineStr">
        <is>
          <t>ML</t>
        </is>
      </c>
      <c r="C138" s="236" t="inlineStr">
        <is>
          <t>Ségou</t>
        </is>
      </c>
      <c r="D138" s="193" t="inlineStr">
        <is>
          <t>BSh</t>
        </is>
      </c>
      <c r="E138" s="236" t="inlineStr">
        <is>
          <t>Semi-aride chaud</t>
        </is>
      </c>
      <c r="F138" s="237" t="n">
        <v>18</v>
      </c>
      <c r="G138" s="237" t="n">
        <v>40</v>
      </c>
      <c r="H138" s="238" t="n">
        <v>29</v>
      </c>
      <c r="I138" s="237" t="n">
        <v>45</v>
      </c>
      <c r="J138" s="238" t="n">
        <v>6.1</v>
      </c>
      <c r="K138" s="237" t="n">
        <v>22</v>
      </c>
      <c r="L138" s="238" t="n">
        <v>750</v>
      </c>
      <c r="M138" s="236" t="n">
        <v>26.6</v>
      </c>
      <c r="N138" s="236" t="inlineStr">
        <is>
          <t>climate-data.org</t>
        </is>
      </c>
      <c r="O138" s="236" t="n">
        <v>2023</v>
      </c>
      <c r="P138" s="236" t="inlineStr">
        <is>
          <t>Centre — BSh</t>
        </is>
      </c>
      <c r="Q138" s="236" t="n"/>
      <c r="R138" s="236" t="n"/>
      <c r="S138" s="236" t="n"/>
    </row>
    <row r="139">
      <c r="A139" s="234" t="inlineStr">
        <is>
          <t>Mali</t>
        </is>
      </c>
      <c r="B139" s="235" t="inlineStr">
        <is>
          <t>ML</t>
        </is>
      </c>
      <c r="C139" s="236" t="inlineStr">
        <is>
          <t>Mopti</t>
        </is>
      </c>
      <c r="D139" s="193" t="inlineStr">
        <is>
          <t>BSh</t>
        </is>
      </c>
      <c r="E139" s="206" t="inlineStr">
        <is>
          <t>Semi-aride chaud</t>
        </is>
      </c>
      <c r="F139" s="170" t="n">
        <v>17</v>
      </c>
      <c r="G139" s="170" t="n">
        <v>42</v>
      </c>
      <c r="H139" s="171" t="n">
        <v>30</v>
      </c>
      <c r="I139" s="170" t="n">
        <v>40</v>
      </c>
      <c r="J139" s="171" t="n">
        <v>6.2</v>
      </c>
      <c r="K139" s="170" t="n">
        <v>25</v>
      </c>
      <c r="L139" s="171" t="n">
        <v>500</v>
      </c>
      <c r="M139" s="206" t="n">
        <v>26.9</v>
      </c>
      <c r="N139" s="206" t="inlineStr">
        <is>
          <t>climate-data.org</t>
        </is>
      </c>
      <c r="O139" s="206" t="n">
        <v>2023</v>
      </c>
      <c r="P139" s="206" t="inlineStr">
        <is>
          <t>Delta intérieur Niger — BSh</t>
        </is>
      </c>
      <c r="Q139" s="206" t="n"/>
      <c r="R139" s="206" t="n"/>
      <c r="S139" s="206" t="n"/>
    </row>
    <row r="140">
      <c r="A140" s="234" t="inlineStr">
        <is>
          <t>Mali</t>
        </is>
      </c>
      <c r="B140" s="235" t="inlineStr">
        <is>
          <t>ML</t>
        </is>
      </c>
      <c r="C140" s="236" t="inlineStr">
        <is>
          <t>Tombouctou</t>
        </is>
      </c>
      <c r="D140" s="233" t="inlineStr">
        <is>
          <t>BWh</t>
        </is>
      </c>
      <c r="E140" s="236" t="inlineStr">
        <is>
          <t>Désert chaud</t>
        </is>
      </c>
      <c r="F140" s="237" t="n">
        <v>14</v>
      </c>
      <c r="G140" s="237" t="n">
        <v>47</v>
      </c>
      <c r="H140" s="238" t="n">
        <v>31</v>
      </c>
      <c r="I140" s="237" t="n">
        <v>25</v>
      </c>
      <c r="J140" s="238" t="n">
        <v>6.5</v>
      </c>
      <c r="K140" s="237" t="n">
        <v>33</v>
      </c>
      <c r="L140" s="238" t="n">
        <v>200</v>
      </c>
      <c r="M140" s="236" t="n">
        <v>27.2</v>
      </c>
      <c r="N140" s="236" t="inlineStr">
        <is>
          <t>climate-data.org</t>
        </is>
      </c>
      <c r="O140" s="236" t="n">
        <v>2023</v>
      </c>
      <c r="P140" s="236" t="inlineStr">
        <is>
          <t>Extrême aride — BWh — Djenné à proximité</t>
        </is>
      </c>
      <c r="Q140" s="236" t="n"/>
      <c r="R140" s="236" t="n"/>
      <c r="S140" s="236" t="n"/>
    </row>
    <row r="141">
      <c r="A141" s="234" t="inlineStr">
        <is>
          <t>Mali</t>
        </is>
      </c>
      <c r="B141" s="235" t="inlineStr">
        <is>
          <t>ML</t>
        </is>
      </c>
      <c r="C141" s="236" t="inlineStr">
        <is>
          <t>Gao</t>
        </is>
      </c>
      <c r="D141" s="233" t="inlineStr">
        <is>
          <t>BWh</t>
        </is>
      </c>
      <c r="E141" s="206" t="inlineStr">
        <is>
          <t>Désert chaud</t>
        </is>
      </c>
      <c r="F141" s="170" t="n">
        <v>15</v>
      </c>
      <c r="G141" s="170" t="n">
        <v>46</v>
      </c>
      <c r="H141" s="171" t="n">
        <v>31</v>
      </c>
      <c r="I141" s="170" t="n">
        <v>25</v>
      </c>
      <c r="J141" s="171" t="n">
        <v>6.4</v>
      </c>
      <c r="K141" s="170" t="n">
        <v>31</v>
      </c>
      <c r="L141" s="171" t="n">
        <v>250</v>
      </c>
      <c r="M141" s="206" t="n">
        <v>27.2</v>
      </c>
      <c r="N141" s="206" t="inlineStr">
        <is>
          <t>climate-data.org</t>
        </is>
      </c>
      <c r="O141" s="206" t="n">
        <v>2023</v>
      </c>
      <c r="P141" s="206" t="inlineStr">
        <is>
          <t>Est — BWh</t>
        </is>
      </c>
      <c r="Q141" s="206" t="n"/>
      <c r="R141" s="206" t="n"/>
      <c r="S141" s="206" t="n"/>
    </row>
    <row r="142">
      <c r="A142" s="239" t="inlineStr">
        <is>
          <t>Côte d'Ivoire</t>
        </is>
      </c>
      <c r="B142" s="240" t="inlineStr">
        <is>
          <t>CI</t>
        </is>
      </c>
      <c r="C142" s="241" t="inlineStr">
        <is>
          <t>Abidjan</t>
        </is>
      </c>
      <c r="D142" s="168" t="inlineStr">
        <is>
          <t>Am</t>
        </is>
      </c>
      <c r="E142" s="241" t="inlineStr">
        <is>
          <t>Mousson côtier</t>
        </is>
      </c>
      <c r="F142" s="242" t="n">
        <v>22</v>
      </c>
      <c r="G142" s="242" t="n">
        <v>32</v>
      </c>
      <c r="H142" s="243" t="n">
        <v>27</v>
      </c>
      <c r="I142" s="242" t="n">
        <v>84</v>
      </c>
      <c r="J142" s="243" t="n">
        <v>5</v>
      </c>
      <c r="K142" s="242" t="n">
        <v>10</v>
      </c>
      <c r="L142" s="243" t="n">
        <v>1700</v>
      </c>
      <c r="M142" s="241" t="n">
        <v>25.9</v>
      </c>
      <c r="N142" s="241" t="inlineStr">
        <is>
          <t>climate-data.org</t>
        </is>
      </c>
      <c r="O142" s="241" t="n">
        <v>2023</v>
      </c>
      <c r="P142" s="241" t="inlineStr">
        <is>
          <t>Capitale économique — Am côtier</t>
        </is>
      </c>
      <c r="Q142" s="241" t="n"/>
      <c r="R142" s="241" t="n"/>
      <c r="S142" s="241" t="n"/>
    </row>
    <row r="143">
      <c r="A143" s="239" t="inlineStr">
        <is>
          <t>Côte d'Ivoire</t>
        </is>
      </c>
      <c r="B143" s="240" t="inlineStr">
        <is>
          <t>CI</t>
        </is>
      </c>
      <c r="C143" s="241" t="inlineStr">
        <is>
          <t>Bouaké</t>
        </is>
      </c>
      <c r="D143" s="179" t="inlineStr">
        <is>
          <t>Aw</t>
        </is>
      </c>
      <c r="E143" s="206" t="inlineStr">
        <is>
          <t>Savane tropicale</t>
        </is>
      </c>
      <c r="F143" s="170" t="n">
        <v>20</v>
      </c>
      <c r="G143" s="170" t="n">
        <v>34</v>
      </c>
      <c r="H143" s="171" t="n">
        <v>27</v>
      </c>
      <c r="I143" s="170" t="n">
        <v>65</v>
      </c>
      <c r="J143" s="171" t="n">
        <v>5.6</v>
      </c>
      <c r="K143" s="170" t="n">
        <v>14</v>
      </c>
      <c r="L143" s="171" t="n">
        <v>1200</v>
      </c>
      <c r="M143" s="206" t="n">
        <v>26</v>
      </c>
      <c r="N143" s="206" t="inlineStr">
        <is>
          <t>climate-data.org</t>
        </is>
      </c>
      <c r="O143" s="206" t="n">
        <v>2023</v>
      </c>
      <c r="P143" s="206" t="inlineStr">
        <is>
          <t>Centre — Aw</t>
        </is>
      </c>
      <c r="Q143" s="206" t="n"/>
      <c r="R143" s="206" t="n"/>
      <c r="S143" s="206" t="n"/>
    </row>
    <row r="144">
      <c r="A144" s="239" t="inlineStr">
        <is>
          <t>Côte d'Ivoire</t>
        </is>
      </c>
      <c r="B144" s="240" t="inlineStr">
        <is>
          <t>CI</t>
        </is>
      </c>
      <c r="C144" s="241" t="inlineStr">
        <is>
          <t>Daloa</t>
        </is>
      </c>
      <c r="D144" s="168" t="inlineStr">
        <is>
          <t>Am</t>
        </is>
      </c>
      <c r="E144" s="241" t="inlineStr">
        <is>
          <t>Mousson</t>
        </is>
      </c>
      <c r="F144" s="242" t="n">
        <v>21</v>
      </c>
      <c r="G144" s="242" t="n">
        <v>33</v>
      </c>
      <c r="H144" s="243" t="n">
        <v>27</v>
      </c>
      <c r="I144" s="242" t="n">
        <v>72</v>
      </c>
      <c r="J144" s="243" t="n">
        <v>5.2</v>
      </c>
      <c r="K144" s="242" t="n">
        <v>12</v>
      </c>
      <c r="L144" s="243" t="n">
        <v>1500</v>
      </c>
      <c r="M144" s="241" t="n">
        <v>25.9</v>
      </c>
      <c r="N144" s="241" t="inlineStr">
        <is>
          <t>climate-data.org</t>
        </is>
      </c>
      <c r="O144" s="241" t="n">
        <v>2023</v>
      </c>
      <c r="P144" s="241" t="inlineStr">
        <is>
          <t>Centre-Ouest — Am</t>
        </is>
      </c>
      <c r="Q144" s="241" t="n"/>
      <c r="R144" s="241" t="n"/>
      <c r="S144" s="241" t="n"/>
    </row>
    <row r="145">
      <c r="A145" s="239" t="inlineStr">
        <is>
          <t>Côte d'Ivoire</t>
        </is>
      </c>
      <c r="B145" s="240" t="inlineStr">
        <is>
          <t>CI</t>
        </is>
      </c>
      <c r="C145" s="241" t="inlineStr">
        <is>
          <t>Yamoussoukro</t>
        </is>
      </c>
      <c r="D145" s="179" t="inlineStr">
        <is>
          <t>Aw</t>
        </is>
      </c>
      <c r="E145" s="206" t="inlineStr">
        <is>
          <t>Savane tropicale</t>
        </is>
      </c>
      <c r="F145" s="170" t="n">
        <v>20</v>
      </c>
      <c r="G145" s="170" t="n">
        <v>33</v>
      </c>
      <c r="H145" s="171" t="n">
        <v>27</v>
      </c>
      <c r="I145" s="170" t="n">
        <v>70</v>
      </c>
      <c r="J145" s="171" t="n">
        <v>5.4</v>
      </c>
      <c r="K145" s="170" t="n">
        <v>13</v>
      </c>
      <c r="L145" s="171" t="n">
        <v>1200</v>
      </c>
      <c r="M145" s="206" t="n">
        <v>26</v>
      </c>
      <c r="N145" s="206" t="inlineStr">
        <is>
          <t>climate-data.org</t>
        </is>
      </c>
      <c r="O145" s="206" t="n">
        <v>2023</v>
      </c>
      <c r="P145" s="206" t="inlineStr">
        <is>
          <t>Capitale politique</t>
        </is>
      </c>
      <c r="Q145" s="206" t="n"/>
      <c r="R145" s="206" t="n"/>
      <c r="S145" s="206" t="n"/>
    </row>
    <row r="146">
      <c r="A146" s="239" t="inlineStr">
        <is>
          <t>Côte d'Ivoire</t>
        </is>
      </c>
      <c r="B146" s="240" t="inlineStr">
        <is>
          <t>CI</t>
        </is>
      </c>
      <c r="C146" s="241" t="inlineStr">
        <is>
          <t>San-Pédro</t>
        </is>
      </c>
      <c r="D146" s="168" t="inlineStr">
        <is>
          <t>Am</t>
        </is>
      </c>
      <c r="E146" s="241" t="inlineStr">
        <is>
          <t>Mousson côtier</t>
        </is>
      </c>
      <c r="F146" s="242" t="n">
        <v>22</v>
      </c>
      <c r="G146" s="242" t="n">
        <v>31</v>
      </c>
      <c r="H146" s="243" t="n">
        <v>26</v>
      </c>
      <c r="I146" s="242" t="n">
        <v>82</v>
      </c>
      <c r="J146" s="243" t="n">
        <v>5</v>
      </c>
      <c r="K146" s="242" t="n">
        <v>9</v>
      </c>
      <c r="L146" s="243" t="n">
        <v>1600</v>
      </c>
      <c r="M146" s="241" t="n">
        <v>25.7</v>
      </c>
      <c r="N146" s="241" t="inlineStr">
        <is>
          <t>climate-data.org</t>
        </is>
      </c>
      <c r="O146" s="241" t="n">
        <v>2023</v>
      </c>
      <c r="P146" s="241" t="inlineStr">
        <is>
          <t>Sud-Ouest côtier — Am</t>
        </is>
      </c>
      <c r="Q146" s="241" t="n"/>
      <c r="R146" s="241" t="n"/>
      <c r="S146" s="241" t="n"/>
    </row>
    <row r="147">
      <c r="A147" s="239" t="inlineStr">
        <is>
          <t>Côte d'Ivoire</t>
        </is>
      </c>
      <c r="B147" s="240" t="inlineStr">
        <is>
          <t>CI</t>
        </is>
      </c>
      <c r="C147" s="241" t="inlineStr">
        <is>
          <t>Korhogo</t>
        </is>
      </c>
      <c r="D147" s="193" t="inlineStr">
        <is>
          <t>BSh</t>
        </is>
      </c>
      <c r="E147" s="206" t="inlineStr">
        <is>
          <t>Semi-aride chaud</t>
        </is>
      </c>
      <c r="F147" s="170" t="n">
        <v>20</v>
      </c>
      <c r="G147" s="170" t="n">
        <v>37</v>
      </c>
      <c r="H147" s="171" t="n">
        <v>29</v>
      </c>
      <c r="I147" s="170" t="n">
        <v>55</v>
      </c>
      <c r="J147" s="171" t="n">
        <v>5.9</v>
      </c>
      <c r="K147" s="170" t="n">
        <v>17</v>
      </c>
      <c r="L147" s="171" t="n">
        <v>1250</v>
      </c>
      <c r="M147" s="206" t="n">
        <v>26.6</v>
      </c>
      <c r="N147" s="206" t="inlineStr">
        <is>
          <t>climate-data.org</t>
        </is>
      </c>
      <c r="O147" s="206" t="n">
        <v>2023</v>
      </c>
      <c r="P147" s="206" t="inlineStr">
        <is>
          <t>Nord — BSh</t>
        </is>
      </c>
      <c r="Q147" s="206" t="n"/>
      <c r="R147" s="206" t="n"/>
      <c r="S147" s="206" t="n"/>
    </row>
    <row r="148">
      <c r="A148" s="239" t="inlineStr">
        <is>
          <t>Côte d'Ivoire</t>
        </is>
      </c>
      <c r="B148" s="240" t="inlineStr">
        <is>
          <t>CI</t>
        </is>
      </c>
      <c r="C148" s="241" t="inlineStr">
        <is>
          <t>Man</t>
        </is>
      </c>
      <c r="D148" s="179" t="inlineStr">
        <is>
          <t>Aw</t>
        </is>
      </c>
      <c r="E148" s="241" t="inlineStr">
        <is>
          <t>Savane tropicale</t>
        </is>
      </c>
      <c r="F148" s="242" t="n">
        <v>20</v>
      </c>
      <c r="G148" s="242" t="n">
        <v>32</v>
      </c>
      <c r="H148" s="243" t="n">
        <v>26</v>
      </c>
      <c r="I148" s="242" t="n">
        <v>72</v>
      </c>
      <c r="J148" s="243" t="n">
        <v>5.3</v>
      </c>
      <c r="K148" s="242" t="n">
        <v>12</v>
      </c>
      <c r="L148" s="243" t="n">
        <v>1600</v>
      </c>
      <c r="M148" s="241" t="n">
        <v>25.7</v>
      </c>
      <c r="N148" s="241" t="inlineStr">
        <is>
          <t>climate-data.org</t>
        </is>
      </c>
      <c r="O148" s="241" t="n">
        <v>2023</v>
      </c>
      <c r="P148" s="241" t="inlineStr">
        <is>
          <t>Ouest montagneux — Aw</t>
        </is>
      </c>
      <c r="Q148" s="241" t="n"/>
      <c r="R148" s="241" t="n"/>
      <c r="S148" s="241" t="n"/>
    </row>
    <row r="149">
      <c r="A149" s="239" t="inlineStr">
        <is>
          <t>Côte d'Ivoire</t>
        </is>
      </c>
      <c r="B149" s="240" t="inlineStr">
        <is>
          <t>CI</t>
        </is>
      </c>
      <c r="C149" s="241" t="inlineStr">
        <is>
          <t>Divo</t>
        </is>
      </c>
      <c r="D149" s="168" t="inlineStr">
        <is>
          <t>Am</t>
        </is>
      </c>
      <c r="E149" s="206" t="inlineStr">
        <is>
          <t>Mousson</t>
        </is>
      </c>
      <c r="F149" s="170" t="n">
        <v>21</v>
      </c>
      <c r="G149" s="170" t="n">
        <v>33</v>
      </c>
      <c r="H149" s="171" t="n">
        <v>27</v>
      </c>
      <c r="I149" s="170" t="n">
        <v>75</v>
      </c>
      <c r="J149" s="171" t="n">
        <v>5.2</v>
      </c>
      <c r="K149" s="170" t="n">
        <v>12</v>
      </c>
      <c r="L149" s="171" t="n">
        <v>1400</v>
      </c>
      <c r="M149" s="206" t="n">
        <v>25.9</v>
      </c>
      <c r="N149" s="206" t="inlineStr">
        <is>
          <t>climate-data.org</t>
        </is>
      </c>
      <c r="O149" s="206" t="n">
        <v>2023</v>
      </c>
      <c r="P149" s="206" t="inlineStr">
        <is>
          <t>Centre-Sud — Am</t>
        </is>
      </c>
      <c r="Q149" s="206" t="n"/>
      <c r="R149" s="206" t="n"/>
      <c r="S149" s="206" t="n"/>
    </row>
    <row r="150">
      <c r="A150" s="244" t="inlineStr">
        <is>
          <t>Niger</t>
        </is>
      </c>
      <c r="B150" s="245" t="inlineStr">
        <is>
          <t>NE</t>
        </is>
      </c>
      <c r="C150" s="246" t="inlineStr">
        <is>
          <t>Niamey</t>
        </is>
      </c>
      <c r="D150" s="193" t="inlineStr">
        <is>
          <t>BSh</t>
        </is>
      </c>
      <c r="E150" s="246" t="inlineStr">
        <is>
          <t>Semi-aride chaud</t>
        </is>
      </c>
      <c r="F150" s="247" t="n">
        <v>17</v>
      </c>
      <c r="G150" s="247" t="n">
        <v>42</v>
      </c>
      <c r="H150" s="248" t="n">
        <v>30</v>
      </c>
      <c r="I150" s="247" t="n">
        <v>38</v>
      </c>
      <c r="J150" s="248" t="n">
        <v>6.3</v>
      </c>
      <c r="K150" s="247" t="n">
        <v>25</v>
      </c>
      <c r="L150" s="248" t="n">
        <v>560</v>
      </c>
      <c r="M150" s="246" t="n">
        <v>26.9</v>
      </c>
      <c r="N150" s="246" t="inlineStr">
        <is>
          <t>climate-data.org</t>
        </is>
      </c>
      <c r="O150" s="246" t="n">
        <v>2023</v>
      </c>
      <c r="P150" s="246" t="inlineStr">
        <is>
          <t>Capitale — BSh chaud</t>
        </is>
      </c>
      <c r="Q150" s="246" t="n"/>
      <c r="R150" s="246" t="n"/>
      <c r="S150" s="246" t="n"/>
    </row>
    <row r="151">
      <c r="A151" s="244" t="inlineStr">
        <is>
          <t>Niger</t>
        </is>
      </c>
      <c r="B151" s="245" t="inlineStr">
        <is>
          <t>NE</t>
        </is>
      </c>
      <c r="C151" s="246" t="inlineStr">
        <is>
          <t>Maradi</t>
        </is>
      </c>
      <c r="D151" s="193" t="inlineStr">
        <is>
          <t>BSh</t>
        </is>
      </c>
      <c r="E151" s="206" t="inlineStr">
        <is>
          <t>Semi-aride chaud</t>
        </is>
      </c>
      <c r="F151" s="170" t="n">
        <v>17</v>
      </c>
      <c r="G151" s="170" t="n">
        <v>41</v>
      </c>
      <c r="H151" s="171" t="n">
        <v>30</v>
      </c>
      <c r="I151" s="170" t="n">
        <v>40</v>
      </c>
      <c r="J151" s="171" t="n">
        <v>6.2</v>
      </c>
      <c r="K151" s="170" t="n">
        <v>24</v>
      </c>
      <c r="L151" s="171" t="n">
        <v>550</v>
      </c>
      <c r="M151" s="206" t="n">
        <v>26.9</v>
      </c>
      <c r="N151" s="206" t="inlineStr">
        <is>
          <t>climate-data.org</t>
        </is>
      </c>
      <c r="O151" s="206" t="n">
        <v>2023</v>
      </c>
      <c r="P151" s="206" t="inlineStr">
        <is>
          <t>Centre-Sud — BSh — Zone BTC déchets mil</t>
        </is>
      </c>
      <c r="Q151" s="206" t="n"/>
      <c r="R151" s="206" t="n"/>
      <c r="S151" s="206" t="n"/>
    </row>
    <row r="152">
      <c r="A152" s="244" t="inlineStr">
        <is>
          <t>Niger</t>
        </is>
      </c>
      <c r="B152" s="245" t="inlineStr">
        <is>
          <t>NE</t>
        </is>
      </c>
      <c r="C152" s="246" t="inlineStr">
        <is>
          <t>Zinder</t>
        </is>
      </c>
      <c r="D152" s="193" t="inlineStr">
        <is>
          <t>BSh</t>
        </is>
      </c>
      <c r="E152" s="246" t="inlineStr">
        <is>
          <t>Semi-aride chaud</t>
        </is>
      </c>
      <c r="F152" s="247" t="n">
        <v>17</v>
      </c>
      <c r="G152" s="247" t="n">
        <v>41</v>
      </c>
      <c r="H152" s="248" t="n">
        <v>30</v>
      </c>
      <c r="I152" s="247" t="n">
        <v>40</v>
      </c>
      <c r="J152" s="248" t="n">
        <v>6.2</v>
      </c>
      <c r="K152" s="247" t="n">
        <v>24</v>
      </c>
      <c r="L152" s="248" t="n">
        <v>550</v>
      </c>
      <c r="M152" s="246" t="n">
        <v>26.9</v>
      </c>
      <c r="N152" s="246" t="inlineStr">
        <is>
          <t>climate-data.org</t>
        </is>
      </c>
      <c r="O152" s="246" t="n">
        <v>2023</v>
      </c>
      <c r="P152" s="246" t="inlineStr">
        <is>
          <t>Centre-Est — BSh</t>
        </is>
      </c>
      <c r="Q152" s="246" t="n"/>
      <c r="R152" s="246" t="n"/>
      <c r="S152" s="246" t="n"/>
    </row>
    <row r="153">
      <c r="A153" s="244" t="inlineStr">
        <is>
          <t>Niger</t>
        </is>
      </c>
      <c r="B153" s="245" t="inlineStr">
        <is>
          <t>NE</t>
        </is>
      </c>
      <c r="C153" s="246" t="inlineStr">
        <is>
          <t>Tahoua</t>
        </is>
      </c>
      <c r="D153" s="193" t="inlineStr">
        <is>
          <t>BSh</t>
        </is>
      </c>
      <c r="E153" s="206" t="inlineStr">
        <is>
          <t>Semi-aride chaud</t>
        </is>
      </c>
      <c r="F153" s="170" t="n">
        <v>16</v>
      </c>
      <c r="G153" s="170" t="n">
        <v>43</v>
      </c>
      <c r="H153" s="171" t="n">
        <v>30</v>
      </c>
      <c r="I153" s="170" t="n">
        <v>36</v>
      </c>
      <c r="J153" s="171" t="n">
        <v>6.3</v>
      </c>
      <c r="K153" s="170" t="n">
        <v>27</v>
      </c>
      <c r="L153" s="171" t="n">
        <v>450</v>
      </c>
      <c r="M153" s="206" t="n">
        <v>26.9</v>
      </c>
      <c r="N153" s="206" t="inlineStr">
        <is>
          <t>climate-data.org</t>
        </is>
      </c>
      <c r="O153" s="206" t="n">
        <v>2023</v>
      </c>
      <c r="P153" s="206" t="inlineStr">
        <is>
          <t>Nord-Centre — BSh</t>
        </is>
      </c>
      <c r="Q153" s="206" t="n"/>
      <c r="R153" s="206" t="n"/>
      <c r="S153" s="206" t="n"/>
    </row>
    <row r="154">
      <c r="A154" s="244" t="inlineStr">
        <is>
          <t>Niger</t>
        </is>
      </c>
      <c r="B154" s="245" t="inlineStr">
        <is>
          <t>NE</t>
        </is>
      </c>
      <c r="C154" s="246" t="inlineStr">
        <is>
          <t>Agadez</t>
        </is>
      </c>
      <c r="D154" s="233" t="inlineStr">
        <is>
          <t>BWh</t>
        </is>
      </c>
      <c r="E154" s="246" t="inlineStr">
        <is>
          <t>Désert chaud</t>
        </is>
      </c>
      <c r="F154" s="247" t="n">
        <v>15</v>
      </c>
      <c r="G154" s="247" t="n">
        <v>45</v>
      </c>
      <c r="H154" s="248" t="n">
        <v>30</v>
      </c>
      <c r="I154" s="247" t="n">
        <v>22</v>
      </c>
      <c r="J154" s="248" t="n">
        <v>6.5</v>
      </c>
      <c r="K154" s="247" t="n">
        <v>30</v>
      </c>
      <c r="L154" s="248" t="n">
        <v>150</v>
      </c>
      <c r="M154" s="246" t="n">
        <v>26.9</v>
      </c>
      <c r="N154" s="246" t="inlineStr">
        <is>
          <t>climate-data.org</t>
        </is>
      </c>
      <c r="O154" s="246" t="n">
        <v>2023</v>
      </c>
      <c r="P154" s="246" t="inlineStr">
        <is>
          <t>Désert saharien — BWh — T°max &gt; 45°C</t>
        </is>
      </c>
      <c r="Q154" s="246" t="n"/>
      <c r="R154" s="246" t="n"/>
      <c r="S154" s="246" t="n"/>
    </row>
    <row r="155">
      <c r="A155" s="244" t="inlineStr">
        <is>
          <t>Niger</t>
        </is>
      </c>
      <c r="B155" s="245" t="inlineStr">
        <is>
          <t>NE</t>
        </is>
      </c>
      <c r="C155" s="246" t="inlineStr">
        <is>
          <t>Diffa</t>
        </is>
      </c>
      <c r="D155" s="193" t="inlineStr">
        <is>
          <t>BSh</t>
        </is>
      </c>
      <c r="E155" s="206" t="inlineStr">
        <is>
          <t>Semi-aride chaud</t>
        </is>
      </c>
      <c r="F155" s="170" t="n">
        <v>17</v>
      </c>
      <c r="G155" s="170" t="n">
        <v>42</v>
      </c>
      <c r="H155" s="171" t="n">
        <v>30</v>
      </c>
      <c r="I155" s="170" t="n">
        <v>38</v>
      </c>
      <c r="J155" s="171" t="n">
        <v>6.2</v>
      </c>
      <c r="K155" s="170" t="n">
        <v>25</v>
      </c>
      <c r="L155" s="171" t="n">
        <v>500</v>
      </c>
      <c r="M155" s="206" t="n">
        <v>26.9</v>
      </c>
      <c r="N155" s="206" t="inlineStr">
        <is>
          <t>climate-data.org</t>
        </is>
      </c>
      <c r="O155" s="206" t="n">
        <v>2023</v>
      </c>
      <c r="P155" s="206" t="inlineStr">
        <is>
          <t>Est — BSh — bassin lac Tchad</t>
        </is>
      </c>
      <c r="Q155" s="206" t="n"/>
      <c r="R155" s="206" t="n"/>
      <c r="S155" s="206" t="n"/>
    </row>
    <row r="156">
      <c r="A156" s="249" t="inlineStr">
        <is>
          <t>Togo</t>
        </is>
      </c>
      <c r="B156" s="250" t="inlineStr">
        <is>
          <t>TG</t>
        </is>
      </c>
      <c r="C156" s="251" t="inlineStr">
        <is>
          <t>Lomé</t>
        </is>
      </c>
      <c r="D156" s="179" t="inlineStr">
        <is>
          <t>Aw</t>
        </is>
      </c>
      <c r="E156" s="251" t="inlineStr">
        <is>
          <t>Savane tropicale côtière</t>
        </is>
      </c>
      <c r="F156" s="252" t="n">
        <v>24</v>
      </c>
      <c r="G156" s="252" t="n">
        <v>32</v>
      </c>
      <c r="H156" s="253" t="n">
        <v>27</v>
      </c>
      <c r="I156" s="252" t="n">
        <v>78</v>
      </c>
      <c r="J156" s="253" t="n">
        <v>5.3</v>
      </c>
      <c r="K156" s="252" t="n">
        <v>8</v>
      </c>
      <c r="L156" s="253" t="n">
        <v>900</v>
      </c>
      <c r="M156" s="251" t="n">
        <v>25.9</v>
      </c>
      <c r="N156" s="251" t="inlineStr">
        <is>
          <t>climate-data.org</t>
        </is>
      </c>
      <c r="O156" s="251" t="n">
        <v>2023</v>
      </c>
      <c r="P156" s="251" t="inlineStr">
        <is>
          <t>Capitale côtière — Aw</t>
        </is>
      </c>
      <c r="Q156" s="251" t="n"/>
      <c r="R156" s="251" t="n"/>
      <c r="S156" s="251" t="n"/>
    </row>
    <row r="157">
      <c r="A157" s="249" t="inlineStr">
        <is>
          <t>Togo</t>
        </is>
      </c>
      <c r="B157" s="250" t="inlineStr">
        <is>
          <t>TG</t>
        </is>
      </c>
      <c r="C157" s="251" t="inlineStr">
        <is>
          <t>Sokodé</t>
        </is>
      </c>
      <c r="D157" s="179" t="inlineStr">
        <is>
          <t>Aw</t>
        </is>
      </c>
      <c r="E157" s="206" t="inlineStr">
        <is>
          <t>Savane tropicale</t>
        </is>
      </c>
      <c r="F157" s="170" t="n">
        <v>21</v>
      </c>
      <c r="G157" s="170" t="n">
        <v>35</v>
      </c>
      <c r="H157" s="171" t="n">
        <v>27</v>
      </c>
      <c r="I157" s="170" t="n">
        <v>62</v>
      </c>
      <c r="J157" s="171" t="n">
        <v>5.7</v>
      </c>
      <c r="K157" s="170" t="n">
        <v>14</v>
      </c>
      <c r="L157" s="171" t="n">
        <v>1200</v>
      </c>
      <c r="M157" s="206" t="n">
        <v>26</v>
      </c>
      <c r="N157" s="206" t="inlineStr">
        <is>
          <t>climate-data.org</t>
        </is>
      </c>
      <c r="O157" s="206" t="n">
        <v>2023</v>
      </c>
      <c r="P157" s="206" t="inlineStr">
        <is>
          <t>Centre — Aw</t>
        </is>
      </c>
      <c r="Q157" s="206" t="n"/>
      <c r="R157" s="206" t="n"/>
      <c r="S157" s="206" t="n"/>
    </row>
    <row r="158">
      <c r="A158" s="249" t="inlineStr">
        <is>
          <t>Togo</t>
        </is>
      </c>
      <c r="B158" s="250" t="inlineStr">
        <is>
          <t>TG</t>
        </is>
      </c>
      <c r="C158" s="251" t="inlineStr">
        <is>
          <t>Kara</t>
        </is>
      </c>
      <c r="D158" s="193" t="inlineStr">
        <is>
          <t>BSh</t>
        </is>
      </c>
      <c r="E158" s="251" t="inlineStr">
        <is>
          <t>Semi-aride chaud</t>
        </is>
      </c>
      <c r="F158" s="252" t="n">
        <v>20</v>
      </c>
      <c r="G158" s="252" t="n">
        <v>36</v>
      </c>
      <c r="H158" s="253" t="n">
        <v>28</v>
      </c>
      <c r="I158" s="252" t="n">
        <v>56</v>
      </c>
      <c r="J158" s="253" t="n">
        <v>5.8</v>
      </c>
      <c r="K158" s="252" t="n">
        <v>16</v>
      </c>
      <c r="L158" s="253" t="n">
        <v>1300</v>
      </c>
      <c r="M158" s="251" t="n">
        <v>26.3</v>
      </c>
      <c r="N158" s="251" t="inlineStr">
        <is>
          <t>climate-data.org</t>
        </is>
      </c>
      <c r="O158" s="251" t="n">
        <v>2023</v>
      </c>
      <c r="P158" s="251" t="inlineStr">
        <is>
          <t>Nord-Centre — BSh</t>
        </is>
      </c>
      <c r="Q158" s="251" t="n"/>
      <c r="R158" s="251" t="n"/>
      <c r="S158" s="251" t="n"/>
    </row>
    <row r="159">
      <c r="A159" s="249" t="inlineStr">
        <is>
          <t>Togo</t>
        </is>
      </c>
      <c r="B159" s="250" t="inlineStr">
        <is>
          <t>TG</t>
        </is>
      </c>
      <c r="C159" s="251" t="inlineStr">
        <is>
          <t>Atakpamé</t>
        </is>
      </c>
      <c r="D159" s="179" t="inlineStr">
        <is>
          <t>Aw</t>
        </is>
      </c>
      <c r="E159" s="206" t="inlineStr">
        <is>
          <t>Savane tropicale</t>
        </is>
      </c>
      <c r="F159" s="170" t="n">
        <v>21</v>
      </c>
      <c r="G159" s="170" t="n">
        <v>34</v>
      </c>
      <c r="H159" s="171" t="n">
        <v>27</v>
      </c>
      <c r="I159" s="170" t="n">
        <v>65</v>
      </c>
      <c r="J159" s="171" t="n">
        <v>5.6</v>
      </c>
      <c r="K159" s="170" t="n">
        <v>13</v>
      </c>
      <c r="L159" s="171" t="n">
        <v>1300</v>
      </c>
      <c r="M159" s="206" t="n">
        <v>26</v>
      </c>
      <c r="N159" s="206" t="inlineStr">
        <is>
          <t>climate-data.org</t>
        </is>
      </c>
      <c r="O159" s="206" t="n">
        <v>2023</v>
      </c>
      <c r="P159" s="206" t="inlineStr">
        <is>
          <t>Centre-Sud — Aw</t>
        </is>
      </c>
      <c r="Q159" s="206" t="n"/>
      <c r="R159" s="206" t="n"/>
      <c r="S159" s="206" t="n"/>
    </row>
    <row r="160">
      <c r="A160" s="249" t="inlineStr">
        <is>
          <t>Togo</t>
        </is>
      </c>
      <c r="B160" s="250" t="inlineStr">
        <is>
          <t>TG</t>
        </is>
      </c>
      <c r="C160" s="251" t="inlineStr">
        <is>
          <t>Dapaong</t>
        </is>
      </c>
      <c r="D160" s="193" t="inlineStr">
        <is>
          <t>BSh</t>
        </is>
      </c>
      <c r="E160" s="251" t="inlineStr">
        <is>
          <t>Semi-aride chaud</t>
        </is>
      </c>
      <c r="F160" s="252" t="n">
        <v>19</v>
      </c>
      <c r="G160" s="252" t="n">
        <v>38</v>
      </c>
      <c r="H160" s="253" t="n">
        <v>28</v>
      </c>
      <c r="I160" s="252" t="n">
        <v>52</v>
      </c>
      <c r="J160" s="253" t="n">
        <v>6</v>
      </c>
      <c r="K160" s="252" t="n">
        <v>19</v>
      </c>
      <c r="L160" s="253" t="n">
        <v>1100</v>
      </c>
      <c r="M160" s="251" t="n">
        <v>26.3</v>
      </c>
      <c r="N160" s="251" t="inlineStr">
        <is>
          <t>climate-data.org</t>
        </is>
      </c>
      <c r="O160" s="251" t="n">
        <v>2023</v>
      </c>
      <c r="P160" s="251" t="inlineStr">
        <is>
          <t>Extrême nord — BSh</t>
        </is>
      </c>
      <c r="Q160" s="251" t="n"/>
      <c r="R160" s="251" t="n"/>
      <c r="S160" s="251" t="n"/>
    </row>
    <row r="161">
      <c r="A161" s="249" t="inlineStr">
        <is>
          <t>Togo</t>
        </is>
      </c>
      <c r="B161" s="250" t="inlineStr">
        <is>
          <t>TG</t>
        </is>
      </c>
      <c r="C161" s="251" t="inlineStr">
        <is>
          <t>Tsévié</t>
        </is>
      </c>
      <c r="D161" s="179" t="inlineStr">
        <is>
          <t>Aw</t>
        </is>
      </c>
      <c r="E161" s="206" t="inlineStr">
        <is>
          <t>Savane tropicale</t>
        </is>
      </c>
      <c r="F161" s="170" t="n">
        <v>23</v>
      </c>
      <c r="G161" s="170" t="n">
        <v>33</v>
      </c>
      <c r="H161" s="171" t="n">
        <v>27</v>
      </c>
      <c r="I161" s="170" t="n">
        <v>75</v>
      </c>
      <c r="J161" s="171" t="n">
        <v>5.4</v>
      </c>
      <c r="K161" s="170" t="n">
        <v>10</v>
      </c>
      <c r="L161" s="171" t="n">
        <v>1000</v>
      </c>
      <c r="M161" s="206" t="n">
        <v>25.9</v>
      </c>
      <c r="N161" s="206" t="inlineStr">
        <is>
          <t>climate-data.org</t>
        </is>
      </c>
      <c r="O161" s="206" t="n">
        <v>2023</v>
      </c>
      <c r="P161" s="206" t="inlineStr">
        <is>
          <t>Sud — proche Lomé — Aw</t>
        </is>
      </c>
      <c r="Q161" s="206" t="n"/>
      <c r="R161" s="206" t="n"/>
      <c r="S161" s="206" t="n"/>
    </row>
    <row r="163">
      <c r="A163" s="303" t="inlineStr">
        <is>
          <t>NOTE v6 — VÉRIFICATION DES DONNÉES CLIMATIQUES</t>
        </is>
      </c>
    </row>
    <row r="164" ht="60" customHeight="1" s="81">
      <c r="A164" s="304" t="inlineStr">
        <is>
          <t>Villes prioritaires (capitales + grandes villes) vérifiées avec sources croisées : climatestotravel (normales 1991-2020), climate-data.org, Weather Atlas, Nomad Season. Chefs-lieux secondaires : sources v5 (climate-data.org + DMN Bénin) conservées à ★★★. Source institutionnelle prioritaire pour GHI ville par ville : Global Solar Atlas (ESMAP/World Bank/Solargis, globalsolaratlas.info) — extraction SIG recommandée pour version finale mémoire.</t>
        </is>
      </c>
    </row>
    <row r="166">
      <c r="A166" s="305" t="inlineStr">
        <is>
          <t>CONFLITS DE CLASSIFICATION À ARBITRER PAR SOURCE PRIMAIRE (World Bank Climate Knowledge Portal)</t>
        </is>
      </c>
    </row>
    <row r="167" ht="45" customHeight="1" s="81">
      <c r="A167" s="304" t="inlineStr">
        <is>
          <t>• Dakar (SN) : BSh retenue v6 (climate-zone normales 1991-2020, précip ~500 mm) — climate-data.org donne BWh (~263 mm). • Kumasi (GH) : Aw retenue v5 — certaines sources donnent Am (transition forestière). • Sekondi-Takoradi (GH) : Am retenue v5 — cohérent zone côtière humide.</t>
        </is>
      </c>
    </row>
  </sheetData>
  <autoFilter ref="A4:P4"/>
  <mergeCells count="5">
    <mergeCell ref="A164:P164"/>
    <mergeCell ref="A1:S1"/>
    <mergeCell ref="A167:P167"/>
    <mergeCell ref="A2:S2"/>
    <mergeCell ref="A95:P9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cols>
    <col width="8" customWidth="1" style="81" min="1" max="1"/>
    <col width="12" customWidth="1" style="81" min="2" max="2"/>
    <col width="6" customWidth="1" style="81" min="3" max="3"/>
    <col width="40" customWidth="1" style="81" min="4" max="4"/>
    <col width="15" customWidth="1" style="81" min="5" max="5"/>
    <col width="10" customWidth="1" style="81" min="6" max="6"/>
    <col width="10" customWidth="1" style="81" min="7" max="7"/>
    <col width="10" customWidth="1" style="81" min="8" max="8"/>
    <col width="12" customWidth="1" style="81" min="9" max="9"/>
    <col width="12" customWidth="1" style="81" min="10" max="10"/>
    <col width="12" customWidth="1" style="81" min="11" max="11"/>
    <col width="12" customWidth="1" style="81" min="12" max="12"/>
    <col width="8" customWidth="1" style="81" min="13" max="13"/>
    <col width="45" customWidth="1" style="81" min="14" max="14"/>
    <col width="40" customWidth="1" style="81" min="15" max="15"/>
    <col width="25" customWidth="1" style="81" min="16" max="16"/>
    <col width="8" customWidth="1" style="81" min="17" max="17"/>
    <col width="12" customWidth="1" style="81" min="18" max="18"/>
    <col width="10" customWidth="1" style="81" min="19" max="19"/>
    <col width="25" customWidth="1" style="81" min="20" max="20"/>
    <col width="45" customWidth="1" style="81" min="21" max="21"/>
  </cols>
  <sheetData>
    <row r="1">
      <c r="A1" s="284" t="inlineStr">
        <is>
          <t>SIMTHERM v6 — Afrique Tropicale — BD_MATERIAUX</t>
        </is>
      </c>
    </row>
    <row r="2" ht="30" customHeight="1" s="81">
      <c r="A2" s="314" t="inlineStr">
        <is>
          <t>Propriétés thermophysiques INTRINSÈQUES des matériaux (λ, ρ, Cp) — 11 pays d'Afrique tropicale — 55 matériaux | U et φ sont calculés dynamiquement dans l'onglet RESULTATS après saisie de l'épaisseur par l'utilisateur (ISO 6946 / ISO 13786)</t>
        </is>
      </c>
    </row>
    <row r="4" ht="40" customHeight="1" s="81">
      <c r="A4" s="286" t="inlineStr">
        <is>
          <t>ID</t>
        </is>
      </c>
      <c r="B4" s="286" t="inlineStr">
        <is>
          <t>Pays</t>
        </is>
      </c>
      <c r="C4" s="286" t="inlineStr">
        <is>
          <t>Code</t>
        </is>
      </c>
      <c r="D4" s="286" t="inlineStr">
        <is>
          <t>Matériau / Technique constructive</t>
        </is>
      </c>
      <c r="E4" s="286" t="inlineStr">
        <is>
          <t>Catégorie</t>
        </is>
      </c>
      <c r="F4" s="286" t="inlineStr">
        <is>
          <t>λ (W/m·K)</t>
        </is>
      </c>
      <c r="G4" s="286" t="inlineStr">
        <is>
          <t>ρ (kg/m³)</t>
        </is>
      </c>
      <c r="H4" s="286" t="inlineStr">
        <is>
          <t>Cp (J/kg·K)</t>
        </is>
      </c>
      <c r="I4" s="286" t="inlineStr">
        <is>
          <t>Ép. de référence source (cm)</t>
        </is>
      </c>
      <c r="J4" s="315" t="inlineStr">
        <is>
          <t>a — Diffusivité
(×10⁻⁷ m²/s)</t>
        </is>
      </c>
      <c r="K4" s="315" t="inlineStr">
        <is>
          <t>b — Effusivité
(J/m²·K·s½)</t>
        </is>
      </c>
      <c r="L4" s="315" t="inlineStr">
        <is>
          <t>δ — Pénétration
diurne (m)</t>
        </is>
      </c>
      <c r="M4" s="286" t="inlineStr">
        <is>
          <t>Niveau N1/N2/N3</t>
        </is>
      </c>
      <c r="N4" s="286" t="inlineStr">
        <is>
          <t>Source / Auteur</t>
        </is>
      </c>
      <c r="O4" s="286" t="inlineStr">
        <is>
          <t>DOI / Référence</t>
        </is>
      </c>
      <c r="P4" s="286" t="inlineStr">
        <is>
          <t>Institution</t>
        </is>
      </c>
      <c r="Q4" s="286" t="inlineStr">
        <is>
          <t>Année</t>
        </is>
      </c>
      <c r="R4" s="286" t="inlineStr">
        <is>
          <t>Coût local/m²</t>
        </is>
      </c>
      <c r="S4" s="286" t="inlineStr">
        <is>
          <t>Monnaie</t>
        </is>
      </c>
      <c r="T4" s="286" t="inlineStr">
        <is>
          <t>Disponibilité</t>
        </is>
      </c>
      <c r="U4" s="286" t="inlineStr">
        <is>
          <t>Remarques / Lacunes</t>
        </is>
      </c>
    </row>
    <row r="5">
      <c r="A5" s="316" t="inlineStr">
        <is>
          <t>B01</t>
        </is>
      </c>
      <c r="B5" s="316" t="inlineStr">
        <is>
          <t>Bénin</t>
        </is>
      </c>
      <c r="C5" s="316" t="inlineStr">
        <is>
          <t>BJ</t>
        </is>
      </c>
      <c r="D5" s="290" t="inlineStr">
        <is>
          <t>BTC 5% ciment — Parakou</t>
        </is>
      </c>
      <c r="E5" s="290" t="inlineStr">
        <is>
          <t>Mur porteur</t>
        </is>
      </c>
      <c r="F5" s="317" t="n">
        <v>0.9</v>
      </c>
      <c r="G5" s="317" t="n">
        <v>1800</v>
      </c>
      <c r="H5" s="317" t="n">
        <v>880</v>
      </c>
      <c r="I5" s="317" t="n">
        <v>15</v>
      </c>
      <c r="J5" s="318">
        <f>ROUND(F5/(G5*H5)*10000000,2)</f>
        <v/>
      </c>
      <c r="K5" s="318">
        <f>ROUND(SQRT(F5*G5*H5),0)</f>
        <v/>
      </c>
      <c r="L5" s="318">
        <f>ROUND(SQRT(F5*86400/(PI()*G5*H5)),3)</f>
        <v/>
      </c>
      <c r="M5" s="316" t="inlineStr">
        <is>
          <t>N1</t>
        </is>
      </c>
      <c r="N5" s="290" t="inlineStr">
        <is>
          <t>Laibi R.A. et al. 2018 KSCE DOI:10.1007/s12205-017-1968-9</t>
        </is>
      </c>
      <c r="O5" s="290" t="inlineStr">
        <is>
          <t>DOI:10.1007/s12205-017-1968-9</t>
        </is>
      </c>
      <c r="P5" s="290" t="inlineStr">
        <is>
          <t>UAC / EPAC Bénin</t>
        </is>
      </c>
      <c r="Q5" s="317" t="n">
        <v>2018</v>
      </c>
      <c r="R5" s="317" t="n">
        <v>18000</v>
      </c>
      <c r="S5" s="316" t="inlineStr">
        <is>
          <t>FCFA</t>
        </is>
      </c>
      <c r="T5" s="290" t="inlineStr">
        <is>
          <t>Disponible Parakou et villes Nord Bénin</t>
        </is>
      </c>
      <c r="U5" s="290" t="inlineStr">
        <is>
          <t>Matériau de référence N1 Bénin — données les plus fiables du panel</t>
        </is>
      </c>
    </row>
    <row r="6">
      <c r="A6" s="316" t="inlineStr">
        <is>
          <t>B02</t>
        </is>
      </c>
      <c r="B6" s="316" t="inlineStr">
        <is>
          <t>Bénin</t>
        </is>
      </c>
      <c r="C6" s="316" t="inlineStr">
        <is>
          <t>BJ</t>
        </is>
      </c>
      <c r="D6" s="290" t="inlineStr">
        <is>
          <t>BTC 8% ciment — Kétou</t>
        </is>
      </c>
      <c r="E6" s="290" t="inlineStr">
        <is>
          <t>Mur porteur</t>
        </is>
      </c>
      <c r="F6" s="317" t="n">
        <v>0.85</v>
      </c>
      <c r="G6" s="317" t="n">
        <v>1850</v>
      </c>
      <c r="H6" s="317" t="n">
        <v>880</v>
      </c>
      <c r="I6" s="317" t="n">
        <v>15</v>
      </c>
      <c r="J6" s="318">
        <f>ROUND(F6/(G6*H6)*10000000,2)</f>
        <v/>
      </c>
      <c r="K6" s="318">
        <f>ROUND(SQRT(F6*G6*H6),0)</f>
        <v/>
      </c>
      <c r="L6" s="318">
        <f>ROUND(SQRT(F6*86400/(PI()*G6*H6)),3)</f>
        <v/>
      </c>
      <c r="M6" s="316" t="inlineStr">
        <is>
          <t>N1</t>
        </is>
      </c>
      <c r="N6" s="290" t="inlineStr">
        <is>
          <t>Laibi R.A. et al. 2017 IJBCS DOI:10.4314/ijbcs.v11i4.24</t>
        </is>
      </c>
      <c r="O6" s="290" t="inlineStr">
        <is>
          <t>DOI:10.4314/ijbcs.v11i4.24</t>
        </is>
      </c>
      <c r="P6" s="290" t="inlineStr">
        <is>
          <t>UAC / EPAC Bénin</t>
        </is>
      </c>
      <c r="Q6" s="317" t="n">
        <v>2017</v>
      </c>
      <c r="R6" s="317" t="n">
        <v>20000</v>
      </c>
      <c r="S6" s="316" t="inlineStr">
        <is>
          <t>FCFA</t>
        </is>
      </c>
      <c r="T6" s="290" t="inlineStr">
        <is>
          <t>Disponible Centre-Sud Bénin</t>
        </is>
      </c>
      <c r="U6" s="290" t="inlineStr">
        <is>
          <t>Teneur ciment plus élevée = résistance eau améliorée</t>
        </is>
      </c>
    </row>
    <row r="7">
      <c r="A7" s="316" t="inlineStr">
        <is>
          <t>B03</t>
        </is>
      </c>
      <c r="B7" s="316" t="inlineStr">
        <is>
          <t>Bénin</t>
        </is>
      </c>
      <c r="C7" s="316" t="inlineStr">
        <is>
          <t>BJ</t>
        </is>
      </c>
      <c r="D7" s="290" t="inlineStr">
        <is>
          <t>BTC kénaf 2% — Parakou</t>
        </is>
      </c>
      <c r="E7" s="290" t="inlineStr">
        <is>
          <t>Mur porteur</t>
        </is>
      </c>
      <c r="F7" s="317" t="n">
        <v>0.78</v>
      </c>
      <c r="G7" s="317" t="n">
        <v>1700</v>
      </c>
      <c r="H7" s="317" t="n">
        <v>920</v>
      </c>
      <c r="I7" s="317" t="n">
        <v>15</v>
      </c>
      <c r="J7" s="318">
        <f>ROUND(F7/(G7*H7)*10000000,2)</f>
        <v/>
      </c>
      <c r="K7" s="318">
        <f>ROUND(SQRT(F7*G7*H7),0)</f>
        <v/>
      </c>
      <c r="L7" s="318">
        <f>ROUND(SQRT(F7*86400/(PI()*G7*H7)),3)</f>
        <v/>
      </c>
      <c r="M7" s="316" t="inlineStr">
        <is>
          <t>N1</t>
        </is>
      </c>
      <c r="N7" s="290" t="inlineStr">
        <is>
          <t>Laibi R.A. et al. 2025 Buildings DOI:10.3390/buildings15193484</t>
        </is>
      </c>
      <c r="O7" s="290" t="inlineStr">
        <is>
          <t>DOI:10.3390/buildings15193484</t>
        </is>
      </c>
      <c r="P7" s="290" t="inlineStr">
        <is>
          <t>UAC / EPAC Bénin</t>
        </is>
      </c>
      <c r="Q7" s="317" t="n">
        <v>2025</v>
      </c>
      <c r="R7" s="317" t="n">
        <v>22000</v>
      </c>
      <c r="S7" s="316" t="inlineStr">
        <is>
          <t>FCFA</t>
        </is>
      </c>
      <c r="T7" s="290" t="inlineStr">
        <is>
          <t>Production locale Parakou</t>
        </is>
      </c>
      <c r="U7" s="290" t="inlineStr">
        <is>
          <t>Fibre kénaf améliore isolation — publication la plus récente</t>
        </is>
      </c>
    </row>
    <row r="8">
      <c r="A8" s="316" t="inlineStr">
        <is>
          <t>B04</t>
        </is>
      </c>
      <c r="B8" s="316" t="inlineStr">
        <is>
          <t>Bénin</t>
        </is>
      </c>
      <c r="C8" s="316" t="inlineStr">
        <is>
          <t>BJ</t>
        </is>
      </c>
      <c r="D8" s="290" t="inlineStr">
        <is>
          <t>Adobe/Brique crue Nord Bénin</t>
        </is>
      </c>
      <c r="E8" s="290" t="inlineStr">
        <is>
          <t>Mur porteur</t>
        </is>
      </c>
      <c r="F8" s="317" t="n">
        <v>0.52</v>
      </c>
      <c r="G8" s="317" t="n">
        <v>1600</v>
      </c>
      <c r="H8" s="317" t="n">
        <v>1000</v>
      </c>
      <c r="I8" s="317" t="n">
        <v>20</v>
      </c>
      <c r="J8" s="318">
        <f>ROUND(F8/(G8*H8)*10000000,2)</f>
        <v/>
      </c>
      <c r="K8" s="318">
        <f>ROUND(SQRT(F8*G8*H8),0)</f>
        <v/>
      </c>
      <c r="L8" s="318">
        <f>ROUND(SQRT(F8*86400/(PI()*G8*H8)),3)</f>
        <v/>
      </c>
      <c r="M8" s="316" t="inlineStr">
        <is>
          <t>N2</t>
        </is>
      </c>
      <c r="N8" s="290" t="inlineStr">
        <is>
          <t>Laibi 2017 analogie banco — estimation ±15%</t>
        </is>
      </c>
      <c r="O8" s="290" t="inlineStr">
        <is>
          <t>Analogie Laibi 2017 + CRATerre 2006</t>
        </is>
      </c>
      <c r="P8" s="290" t="inlineStr">
        <is>
          <t>UAC Bénin</t>
        </is>
      </c>
      <c r="Q8" s="317" t="n">
        <v>2017</v>
      </c>
      <c r="R8" s="317" t="n">
        <v>5000</v>
      </c>
      <c r="S8" s="316" t="inlineStr">
        <is>
          <t>FCFA</t>
        </is>
      </c>
      <c r="T8" s="290" t="inlineStr">
        <is>
          <t>Abondant zones rurales Nord</t>
        </is>
      </c>
      <c r="U8" s="290" t="inlineStr">
        <is>
          <t>Très économique — vulnérable eau — protéger avec enduit</t>
        </is>
      </c>
    </row>
    <row r="9">
      <c r="A9" s="316" t="inlineStr">
        <is>
          <t>B05</t>
        </is>
      </c>
      <c r="B9" s="316" t="inlineStr">
        <is>
          <t>Bénin</t>
        </is>
      </c>
      <c r="C9" s="316" t="inlineStr">
        <is>
          <t>BJ</t>
        </is>
      </c>
      <c r="D9" s="290" t="inlineStr">
        <is>
          <t>Pisé/Banco dense</t>
        </is>
      </c>
      <c r="E9" s="290" t="inlineStr">
        <is>
          <t>Mur porteur</t>
        </is>
      </c>
      <c r="F9" s="317" t="n">
        <v>0.65</v>
      </c>
      <c r="G9" s="317" t="n">
        <v>1700</v>
      </c>
      <c r="H9" s="317" t="n">
        <v>950</v>
      </c>
      <c r="I9" s="317" t="n">
        <v>20</v>
      </c>
      <c r="J9" s="318">
        <f>ROUND(F9/(G9*H9)*10000000,2)</f>
        <v/>
      </c>
      <c r="K9" s="318">
        <f>ROUND(SQRT(F9*G9*H9),0)</f>
        <v/>
      </c>
      <c r="L9" s="318">
        <f>ROUND(SQRT(F9*86400/(PI()*G9*H9)),3)</f>
        <v/>
      </c>
      <c r="M9" s="316" t="inlineStr">
        <is>
          <t>N2</t>
        </is>
      </c>
      <c r="N9" s="290" t="inlineStr">
        <is>
          <t>CRATerre 2006 + Imbga &amp; Messan 2023 analogie pisé</t>
        </is>
      </c>
      <c r="O9" s="290" t="inlineStr">
        <is>
          <t>Analogie zone climatique similaire Burkina</t>
        </is>
      </c>
      <c r="P9" s="290" t="inlineStr">
        <is>
          <t>2iE Ouagadougou</t>
        </is>
      </c>
      <c r="Q9" s="317" t="n">
        <v>2023</v>
      </c>
      <c r="R9" s="317" t="n">
        <v>6000</v>
      </c>
      <c r="S9" s="316" t="inlineStr">
        <is>
          <t>FCFA</t>
        </is>
      </c>
      <c r="T9" s="290" t="inlineStr">
        <is>
          <t>Disponible Nord-Centre Bénin</t>
        </is>
      </c>
      <c r="U9" s="290" t="inlineStr">
        <is>
          <t>Technique traditionnelle — bonne inertie thermique</t>
        </is>
      </c>
    </row>
    <row r="10">
      <c r="A10" s="316" t="inlineStr">
        <is>
          <t>B06</t>
        </is>
      </c>
      <c r="B10" s="316" t="inlineStr">
        <is>
          <t>Bénin</t>
        </is>
      </c>
      <c r="C10" s="316" t="inlineStr">
        <is>
          <t>BJ</t>
        </is>
      </c>
      <c r="D10" s="290" t="inlineStr">
        <is>
          <t>Mortier fibré coco — UAC</t>
        </is>
      </c>
      <c r="E10" s="290" t="inlineStr">
        <is>
          <t>Mur porteur</t>
        </is>
      </c>
      <c r="F10" s="317" t="n">
        <v>0.45</v>
      </c>
      <c r="G10" s="317" t="n">
        <v>1400</v>
      </c>
      <c r="H10" s="317" t="n">
        <v>1000</v>
      </c>
      <c r="I10" s="317" t="n">
        <v>10</v>
      </c>
      <c r="J10" s="318">
        <f>ROUND(F10/(G10*H10)*10000000,2)</f>
        <v/>
      </c>
      <c r="K10" s="318">
        <f>ROUND(SQRT(F10*G10*H10),0)</f>
        <v/>
      </c>
      <c r="L10" s="318">
        <f>ROUND(SQRT(F10*86400/(PI()*G10*H10)),3)</f>
        <v/>
      </c>
      <c r="M10" s="316" t="inlineStr">
        <is>
          <t>N1</t>
        </is>
      </c>
      <c r="N10" s="290" t="inlineStr">
        <is>
          <t>Osseni A.A. 2016 Afrique SCIENCE ISSN:1813-548X</t>
        </is>
      </c>
      <c r="O10" s="290" t="inlineStr">
        <is>
          <t>ISSN:1813-548X Vol.12 No.4</t>
        </is>
      </c>
      <c r="P10" s="290" t="inlineStr">
        <is>
          <t>UAC / FAST Bénin</t>
        </is>
      </c>
      <c r="Q10" s="317" t="n">
        <v>2016</v>
      </c>
      <c r="R10" s="317" t="n">
        <v>8000</v>
      </c>
      <c r="S10" s="316" t="inlineStr">
        <is>
          <t>FCFA</t>
        </is>
      </c>
      <c r="T10" s="290" t="inlineStr">
        <is>
          <t>Production artisanale locale</t>
        </is>
      </c>
      <c r="U10" s="290" t="inlineStr">
        <is>
          <t>Fibres noix de coco + liant terreux — bon isolant</t>
        </is>
      </c>
    </row>
    <row r="11">
      <c r="A11" s="316" t="inlineStr">
        <is>
          <t>B07</t>
        </is>
      </c>
      <c r="B11" s="316" t="inlineStr">
        <is>
          <t>Bénin</t>
        </is>
      </c>
      <c r="C11" s="316" t="inlineStr">
        <is>
          <t>BJ</t>
        </is>
      </c>
      <c r="D11" s="290" t="inlineStr">
        <is>
          <t>Mortier fibré bananier — UAC</t>
        </is>
      </c>
      <c r="E11" s="290" t="inlineStr">
        <is>
          <t>Mur porteur</t>
        </is>
      </c>
      <c r="F11" s="317" t="n">
        <v>0.16</v>
      </c>
      <c r="G11" s="317" t="n">
        <v>1300</v>
      </c>
      <c r="H11" s="317" t="n">
        <v>1100</v>
      </c>
      <c r="I11" s="317" t="n">
        <v>10</v>
      </c>
      <c r="J11" s="318">
        <f>ROUND(F11/(G11*H11)*10000000,2)</f>
        <v/>
      </c>
      <c r="K11" s="318">
        <f>ROUND(SQRT(F11*G11*H11),0)</f>
        <v/>
      </c>
      <c r="L11" s="318">
        <f>ROUND(SQRT(F11*86400/(PI()*G11*H11)),3)</f>
        <v/>
      </c>
      <c r="M11" s="316" t="inlineStr">
        <is>
          <t>N1</t>
        </is>
      </c>
      <c r="N11" s="290" t="inlineStr">
        <is>
          <t>Osseni A.A. 2017 Thèse Doctorat UAC Abomey-Calavi</t>
        </is>
      </c>
      <c r="O11" s="290" t="inlineStr">
        <is>
          <t>Thèse Doctorat UAC Abomey-Calavi 2017</t>
        </is>
      </c>
      <c r="P11" s="290" t="inlineStr">
        <is>
          <t>UAC / FAST Bénin</t>
        </is>
      </c>
      <c r="Q11" s="317" t="n">
        <v>2017</v>
      </c>
      <c r="R11" s="317" t="n">
        <v>9000</v>
      </c>
      <c r="S11" s="316" t="inlineStr">
        <is>
          <t>FCFA</t>
        </is>
      </c>
      <c r="T11" s="290" t="inlineStr">
        <is>
          <t>Production artisanale Bénin Sud</t>
        </is>
      </c>
      <c r="U11" s="290" t="inlineStr">
        <is>
          <t>Excellent isolant — λ très faible — données expérimentales solides</t>
        </is>
      </c>
    </row>
    <row r="12">
      <c r="A12" s="316" t="inlineStr">
        <is>
          <t>B08</t>
        </is>
      </c>
      <c r="B12" s="316" t="inlineStr">
        <is>
          <t>Bénin</t>
        </is>
      </c>
      <c r="C12" s="316" t="inlineStr">
        <is>
          <t>BJ</t>
        </is>
      </c>
      <c r="D12" s="290" t="inlineStr">
        <is>
          <t>Latérite compactée</t>
        </is>
      </c>
      <c r="E12" s="290" t="inlineStr">
        <is>
          <t>Mur porteur</t>
        </is>
      </c>
      <c r="F12" s="317" t="n">
        <v>0.9</v>
      </c>
      <c r="G12" s="317" t="n">
        <v>2000</v>
      </c>
      <c r="H12" s="317" t="n">
        <v>900</v>
      </c>
      <c r="I12" s="317" t="n">
        <v>20</v>
      </c>
      <c r="J12" s="318">
        <f>ROUND(F12/(G12*H12)*10000000,2)</f>
        <v/>
      </c>
      <c r="K12" s="318">
        <f>ROUND(SQRT(F12*G12*H12),0)</f>
        <v/>
      </c>
      <c r="L12" s="318">
        <f>ROUND(SQRT(F12*86400/(PI()*G12*H12)),3)</f>
        <v/>
      </c>
      <c r="M12" s="316" t="inlineStr">
        <is>
          <t>N2</t>
        </is>
      </c>
      <c r="N12" s="290" t="inlineStr">
        <is>
          <t>ISO 10456:2007 + analogie latérite africaine</t>
        </is>
      </c>
      <c r="O12" s="290" t="inlineStr">
        <is>
          <t>ISO 10456:2007</t>
        </is>
      </c>
      <c r="P12" s="290" t="inlineStr">
        <is>
          <t>ISO / UAC</t>
        </is>
      </c>
      <c r="Q12" s="317" t="n">
        <v>2007</v>
      </c>
      <c r="R12" s="317" t="n">
        <v>4000</v>
      </c>
      <c r="S12" s="316" t="inlineStr">
        <is>
          <t>FCFA</t>
        </is>
      </c>
      <c r="T12" s="290" t="inlineStr">
        <is>
          <t>Abondant Centre-Nord Bénin</t>
        </is>
      </c>
      <c r="U12" s="290" t="inlineStr">
        <is>
          <t>Très disponible — résistance mécanique variable selon teneur argile</t>
        </is>
      </c>
    </row>
    <row r="13">
      <c r="A13" s="316" t="inlineStr">
        <is>
          <t>B09</t>
        </is>
      </c>
      <c r="B13" s="316" t="inlineStr">
        <is>
          <t>Bénin</t>
        </is>
      </c>
      <c r="C13" s="316" t="inlineStr">
        <is>
          <t>BJ</t>
        </is>
      </c>
      <c r="D13" s="290" t="inlineStr">
        <is>
          <t>Dalle béton armé — toiture 12cm</t>
        </is>
      </c>
      <c r="E13" s="290" t="inlineStr">
        <is>
          <t>Toiture locale</t>
        </is>
      </c>
      <c r="F13" s="317" t="n">
        <v>1.75</v>
      </c>
      <c r="G13" s="317" t="n">
        <v>2300</v>
      </c>
      <c r="H13" s="317" t="n">
        <v>880</v>
      </c>
      <c r="I13" s="317" t="n">
        <v>12</v>
      </c>
      <c r="J13" s="318">
        <f>ROUND(F13/(G13*H13)*10000000,2)</f>
        <v/>
      </c>
      <c r="K13" s="318">
        <f>ROUND(SQRT(F13*G13*H13),0)</f>
        <v/>
      </c>
      <c r="L13" s="318">
        <f>ROUND(SQRT(F13*86400/(PI()*G13*H13)),3)</f>
        <v/>
      </c>
      <c r="M13" s="316" t="inlineStr">
        <is>
          <t>N1</t>
        </is>
      </c>
      <c r="N13" s="290" t="inlineStr">
        <is>
          <t>Semassou G.C. et al. 2021 AJEE DOI:10.11648/j.ajee.20210902.14 — ep 12cm fixe</t>
        </is>
      </c>
      <c r="O13" s="290" t="inlineStr">
        <is>
          <t>DOI:10.11648/j.ajee.20210902.14</t>
        </is>
      </c>
      <c r="P13" s="290" t="inlineStr">
        <is>
          <t>EPAC Bénin</t>
        </is>
      </c>
      <c r="Q13" s="317" t="n">
        <v>2021</v>
      </c>
      <c r="R13" s="317" t="n">
        <v>35000</v>
      </c>
      <c r="S13" s="316" t="inlineStr">
        <is>
          <t>FCFA</t>
        </is>
      </c>
      <c r="T13" s="290" t="inlineStr">
        <is>
          <t>Universellement disponible au Bénin</t>
        </is>
      </c>
      <c r="U13" s="290" t="inlineStr">
        <is>
          <t>Référence matériau conventionnel toiture — très chaud sous climat tropical</t>
        </is>
      </c>
    </row>
    <row r="14">
      <c r="A14" s="316" t="inlineStr">
        <is>
          <t>B10</t>
        </is>
      </c>
      <c r="B14" s="316" t="inlineStr">
        <is>
          <t>Bénin</t>
        </is>
      </c>
      <c r="C14" s="316" t="inlineStr">
        <is>
          <t>BJ</t>
        </is>
      </c>
      <c r="D14" s="290" t="inlineStr">
        <is>
          <t>Chaume dense épais 30cm</t>
        </is>
      </c>
      <c r="E14" s="290" t="inlineStr">
        <is>
          <t>Toiture locale</t>
        </is>
      </c>
      <c r="F14" s="317" t="n">
        <v>0.07000000000000001</v>
      </c>
      <c r="G14" s="317" t="n">
        <v>150</v>
      </c>
      <c r="H14" s="317" t="n">
        <v>1500</v>
      </c>
      <c r="I14" s="317" t="n">
        <v>30</v>
      </c>
      <c r="J14" s="318">
        <f>ROUND(F14/(G14*H14)*10000000,2)</f>
        <v/>
      </c>
      <c r="K14" s="318">
        <f>ROUND(SQRT(F14*G14*H14),0)</f>
        <v/>
      </c>
      <c r="L14" s="318">
        <f>ROUND(SQRT(F14*86400/(PI()*G14*H14)),3)</f>
        <v/>
      </c>
      <c r="M14" s="316" t="inlineStr">
        <is>
          <t>N2</t>
        </is>
      </c>
      <c r="N14" s="290" t="inlineStr">
        <is>
          <t>Kolås T. et al. 2021 Energy Build. DOI:10.1016/j.enbuild.2021.111531</t>
        </is>
      </c>
      <c r="O14" s="290" t="inlineStr">
        <is>
          <t>DOI:10.1016/j.enbuild.2021.111531</t>
        </is>
      </c>
      <c r="P14" s="290" t="inlineStr">
        <is>
          <t>IEA + UAC analogie</t>
        </is>
      </c>
      <c r="Q14" s="317" t="n">
        <v>2021</v>
      </c>
      <c r="R14" s="317" t="n">
        <v>15000</v>
      </c>
      <c r="S14" s="316" t="inlineStr">
        <is>
          <t>FCFA</t>
        </is>
      </c>
      <c r="T14" s="290" t="inlineStr">
        <is>
          <t>Disponible zones rurales Bénin</t>
        </is>
      </c>
      <c r="U14" s="290" t="inlineStr">
        <is>
          <t>Meilleur isolant naturel — déphasage exceptionnel — maintien savoir-faire</t>
        </is>
      </c>
    </row>
    <row r="15">
      <c r="A15" s="316" t="inlineStr">
        <is>
          <t>B11</t>
        </is>
      </c>
      <c r="B15" s="316" t="inlineStr">
        <is>
          <t>Bénin</t>
        </is>
      </c>
      <c r="C15" s="316" t="inlineStr">
        <is>
          <t>BJ</t>
        </is>
      </c>
      <c r="D15" s="290" t="inlineStr">
        <is>
          <t>Bois Iroko (Milicia excelsa) 5cm</t>
        </is>
      </c>
      <c r="E15" s="290" t="inlineStr">
        <is>
          <t>Toiture locale</t>
        </is>
      </c>
      <c r="F15" s="317" t="n">
        <v>0.15</v>
      </c>
      <c r="G15" s="317" t="n">
        <v>650</v>
      </c>
      <c r="H15" s="317" t="n">
        <v>1600</v>
      </c>
      <c r="I15" s="317" t="n">
        <v>5</v>
      </c>
      <c r="J15" s="318">
        <f>ROUND(F15/(G15*H15)*10000000,2)</f>
        <v/>
      </c>
      <c r="K15" s="318">
        <f>ROUND(SQRT(F15*G15*H15),0)</f>
        <v/>
      </c>
      <c r="L15" s="318">
        <f>ROUND(SQRT(F15*86400/(PI()*G15*H15)),3)</f>
        <v/>
      </c>
      <c r="M15" s="316" t="inlineStr">
        <is>
          <t>N2</t>
        </is>
      </c>
      <c r="N15" s="290" t="inlineStr">
        <is>
          <t>Mvondo R.R.N. et al. 2019 Heat Mass Transfer DOI:10.1007/s00231-019-02795-8 — ep 5cm</t>
        </is>
      </c>
      <c r="O15" s="290" t="inlineStr">
        <is>
          <t>DOI:10.1007/s00231-019-02795-8</t>
        </is>
      </c>
      <c r="P15" s="290" t="inlineStr">
        <is>
          <t>Université Yaoundé I</t>
        </is>
      </c>
      <c r="Q15" s="317" t="n">
        <v>2019</v>
      </c>
      <c r="R15" s="317" t="n">
        <v>45000</v>
      </c>
      <c r="S15" s="316" t="inlineStr">
        <is>
          <t>FCFA</t>
        </is>
      </c>
      <c r="T15" s="290" t="inlineStr">
        <is>
          <t>Disponible Bénin Sud (forêts)</t>
        </is>
      </c>
      <c r="U15" s="290" t="inlineStr">
        <is>
          <t>Bois tropical dur — bonne résistance — charpente traditionnelle</t>
        </is>
      </c>
    </row>
    <row r="16">
      <c r="A16" s="316" t="inlineStr">
        <is>
          <t>B12</t>
        </is>
      </c>
      <c r="B16" s="316" t="inlineStr">
        <is>
          <t>Bénin</t>
        </is>
      </c>
      <c r="C16" s="316" t="inlineStr">
        <is>
          <t>BJ</t>
        </is>
      </c>
      <c r="D16" s="290" t="inlineStr">
        <is>
          <t>Brique terre cuite pleine 20cm</t>
        </is>
      </c>
      <c r="E16" s="290" t="inlineStr">
        <is>
          <t>Mur porteur</t>
        </is>
      </c>
      <c r="F16" s="317" t="n">
        <v>0.52</v>
      </c>
      <c r="G16" s="317" t="n">
        <v>1700</v>
      </c>
      <c r="H16" s="317" t="n">
        <v>920</v>
      </c>
      <c r="I16" s="317" t="n">
        <v>20</v>
      </c>
      <c r="J16" s="318">
        <f>ROUND(F16/(G16*H16)*10000000,2)</f>
        <v/>
      </c>
      <c r="K16" s="318">
        <f>ROUND(SQRT(F16*G16*H16),0)</f>
        <v/>
      </c>
      <c r="L16" s="318">
        <f>ROUND(SQRT(F16*86400/(PI()*G16*H16)),3)</f>
        <v/>
      </c>
      <c r="M16" s="316" t="inlineStr">
        <is>
          <t>N3</t>
        </is>
      </c>
      <c r="N16" s="290" t="inlineStr">
        <is>
          <t>ISO 10456:2007 + EN 1745:2020 — brique terre cuite</t>
        </is>
      </c>
      <c r="O16" s="290" t="inlineStr">
        <is>
          <t>ISO 10456:2007</t>
        </is>
      </c>
      <c r="P16" s="290" t="inlineStr">
        <is>
          <t>ISO Geneva</t>
        </is>
      </c>
      <c r="Q16" s="317" t="n">
        <v>2007</v>
      </c>
      <c r="R16" s="317" t="n">
        <v>14000</v>
      </c>
      <c r="S16" s="316" t="inlineStr">
        <is>
          <t>FCFA</t>
        </is>
      </c>
      <c r="T16" s="290" t="inlineStr">
        <is>
          <t>Disponible dans plusieurs villes</t>
        </is>
      </c>
      <c r="U16" s="290" t="inlineStr">
        <is>
          <t>Performance intermédiaire entre BTC et parpaing</t>
        </is>
      </c>
    </row>
    <row r="17">
      <c r="A17" s="316" t="inlineStr">
        <is>
          <t>REF1</t>
        </is>
      </c>
      <c r="B17" s="316" t="inlineStr">
        <is>
          <t>Tous pays</t>
        </is>
      </c>
      <c r="C17" s="316" t="inlineStr">
        <is>
          <t>ALL</t>
        </is>
      </c>
      <c r="D17" s="290" t="inlineStr">
        <is>
          <t>Parpaing creux béton 20cm</t>
        </is>
      </c>
      <c r="E17" s="290" t="inlineStr">
        <is>
          <t>Mur conventionnel</t>
        </is>
      </c>
      <c r="F17" s="317" t="n">
        <v>1</v>
      </c>
      <c r="G17" s="317" t="n">
        <v>1800</v>
      </c>
      <c r="H17" s="317" t="n">
        <v>840</v>
      </c>
      <c r="I17" s="317" t="n">
        <v>20</v>
      </c>
      <c r="J17" s="318">
        <f>ROUND(F17/(G17*H17)*10000000,2)</f>
        <v/>
      </c>
      <c r="K17" s="318">
        <f>ROUND(SQRT(F17*G17*H17),0)</f>
        <v/>
      </c>
      <c r="L17" s="318">
        <f>ROUND(SQRT(F17*86400/(PI()*G17*H17)),3)</f>
        <v/>
      </c>
      <c r="M17" s="316" t="inlineStr">
        <is>
          <t>N3</t>
        </is>
      </c>
      <c r="N17" s="290" t="inlineStr">
        <is>
          <t>ISO 10456:2007 — parpaing creux béton — valeurs normatives</t>
        </is>
      </c>
      <c r="O17" s="290" t="inlineStr">
        <is>
          <t>ISO 10456:2007</t>
        </is>
      </c>
      <c r="P17" s="290" t="inlineStr">
        <is>
          <t>ISO Geneva</t>
        </is>
      </c>
      <c r="Q17" s="317" t="n">
        <v>2007</v>
      </c>
      <c r="R17" s="317" t="inlineStr">
        <is>
          <t>À collecter</t>
        </is>
      </c>
      <c r="S17" s="316" t="inlineStr">
        <is>
          <t>Selon pays</t>
        </is>
      </c>
      <c r="T17" s="290" t="inlineStr">
        <is>
          <t>Universel — disponible dans les 11 pays</t>
        </is>
      </c>
      <c r="U17" s="290" t="inlineStr">
        <is>
          <t>MATÉRIAU DE RÉFÉRENCE CONVENTIONNEL — Base de comparaison universelle</t>
        </is>
      </c>
    </row>
    <row r="18">
      <c r="A18" s="316" t="inlineStr">
        <is>
          <t>REF2</t>
        </is>
      </c>
      <c r="B18" s="316" t="inlineStr">
        <is>
          <t>Tous pays</t>
        </is>
      </c>
      <c r="C18" s="316" t="inlineStr">
        <is>
          <t>ALL</t>
        </is>
      </c>
      <c r="D18" s="290" t="inlineStr">
        <is>
          <t>Parpaing plein béton 15cm</t>
        </is>
      </c>
      <c r="E18" s="290" t="inlineStr">
        <is>
          <t>Mur conventionnel</t>
        </is>
      </c>
      <c r="F18" s="317" t="n">
        <v>1.05</v>
      </c>
      <c r="G18" s="317" t="n">
        <v>2000</v>
      </c>
      <c r="H18" s="317" t="n">
        <v>840</v>
      </c>
      <c r="I18" s="317" t="n">
        <v>15</v>
      </c>
      <c r="J18" s="318">
        <f>ROUND(F18/(G18*H18)*10000000,2)</f>
        <v/>
      </c>
      <c r="K18" s="318">
        <f>ROUND(SQRT(F18*G18*H18),0)</f>
        <v/>
      </c>
      <c r="L18" s="318">
        <f>ROUND(SQRT(F18*86400/(PI()*G18*H18)),3)</f>
        <v/>
      </c>
      <c r="M18" s="316" t="inlineStr">
        <is>
          <t>N3</t>
        </is>
      </c>
      <c r="N18" s="290" t="inlineStr">
        <is>
          <t>ISO 10456:2007 — parpaing plein béton 15cm — ep fixe</t>
        </is>
      </c>
      <c r="O18" s="290" t="inlineStr">
        <is>
          <t>ISO 10456:2007</t>
        </is>
      </c>
      <c r="P18" s="290" t="inlineStr">
        <is>
          <t>ISO Geneva</t>
        </is>
      </c>
      <c r="Q18" s="317" t="n">
        <v>2007</v>
      </c>
      <c r="R18" s="317" t="inlineStr">
        <is>
          <t>À collecter</t>
        </is>
      </c>
      <c r="S18" s="316" t="inlineStr">
        <is>
          <t>Selon pays</t>
        </is>
      </c>
      <c r="T18" s="290" t="inlineStr">
        <is>
          <t>Universel</t>
        </is>
      </c>
      <c r="U18" s="290" t="inlineStr">
        <is>
          <t>Parpaing plein = meilleure inertie que creux mais U plus élevé</t>
        </is>
      </c>
    </row>
    <row r="19">
      <c r="A19" s="316" t="inlineStr">
        <is>
          <t>REF3</t>
        </is>
      </c>
      <c r="B19" s="316" t="inlineStr">
        <is>
          <t>Tous pays</t>
        </is>
      </c>
      <c r="C19" s="316" t="inlineStr">
        <is>
          <t>ALL</t>
        </is>
      </c>
      <c r="D19" s="290" t="inlineStr">
        <is>
          <t>Dalle béton armé 12cm</t>
        </is>
      </c>
      <c r="E19" s="290" t="inlineStr">
        <is>
          <t>Toiture conventionnelle</t>
        </is>
      </c>
      <c r="F19" s="317" t="n">
        <v>1.75</v>
      </c>
      <c r="G19" s="317" t="n">
        <v>2400</v>
      </c>
      <c r="H19" s="317" t="n">
        <v>840</v>
      </c>
      <c r="I19" s="317" t="n">
        <v>12</v>
      </c>
      <c r="J19" s="318">
        <f>ROUND(F19/(G19*H19)*10000000,2)</f>
        <v/>
      </c>
      <c r="K19" s="318">
        <f>ROUND(SQRT(F19*G19*H19),0)</f>
        <v/>
      </c>
      <c r="L19" s="318">
        <f>ROUND(SQRT(F19*86400/(PI()*G19*H19)),3)</f>
        <v/>
      </c>
      <c r="M19" s="316" t="inlineStr">
        <is>
          <t>N3</t>
        </is>
      </c>
      <c r="N19" s="290" t="inlineStr">
        <is>
          <t>ISO 10456:2007 + Semassou 2021 — dalle béton armé 12cm — ep fixe</t>
        </is>
      </c>
      <c r="O19" s="290" t="inlineStr">
        <is>
          <t>DOI:10.11648/j.ajee.20210902.14 + ISO</t>
        </is>
      </c>
      <c r="P19" s="290" t="inlineStr">
        <is>
          <t>ISO/EPAC</t>
        </is>
      </c>
      <c r="Q19" s="317" t="n">
        <v>2021</v>
      </c>
      <c r="R19" s="317" t="inlineStr">
        <is>
          <t>À collecter</t>
        </is>
      </c>
      <c r="S19" s="316" t="inlineStr">
        <is>
          <t>Selon pays</t>
        </is>
      </c>
      <c r="T19" s="290" t="inlineStr">
        <is>
          <t>Universel</t>
        </is>
      </c>
      <c r="U19" s="290" t="inlineStr">
        <is>
          <t>Toiture conventionnelle dominante en milieu urbain africain</t>
        </is>
      </c>
    </row>
    <row r="20">
      <c r="A20" s="316" t="inlineStr">
        <is>
          <t>REF4</t>
        </is>
      </c>
      <c r="B20" s="316" t="inlineStr">
        <is>
          <t>Tous pays</t>
        </is>
      </c>
      <c r="C20" s="316" t="inlineStr">
        <is>
          <t>ALL</t>
        </is>
      </c>
      <c r="D20" s="290" t="inlineStr">
        <is>
          <t>Tôle galvanisée ondulée 0.5mm</t>
        </is>
      </c>
      <c r="E20" s="290" t="inlineStr">
        <is>
          <t>Toiture conventionnelle</t>
        </is>
      </c>
      <c r="F20" s="317" t="n">
        <v>50</v>
      </c>
      <c r="G20" s="317" t="n">
        <v>7800</v>
      </c>
      <c r="H20" s="317" t="n">
        <v>480</v>
      </c>
      <c r="I20" s="317" t="n">
        <v>0.5</v>
      </c>
      <c r="J20" s="318">
        <f>ROUND(F20/(G20*H20)*10000000,2)</f>
        <v/>
      </c>
      <c r="K20" s="318">
        <f>ROUND(SQRT(F20*G20*H20),0)</f>
        <v/>
      </c>
      <c r="L20" s="318">
        <f>ROUND(SQRT(F20*86400/(PI()*G20*H20)),3)</f>
        <v/>
      </c>
      <c r="M20" s="316" t="inlineStr">
        <is>
          <t>N3</t>
        </is>
      </c>
      <c r="N20" s="290" t="inlineStr">
        <is>
          <t>ISO 10456:2007 — tôle galvanisée 0.5mm — U élevé normal</t>
        </is>
      </c>
      <c r="O20" s="290" t="inlineStr">
        <is>
          <t>ISO 10456:2007</t>
        </is>
      </c>
      <c r="P20" s="290" t="inlineStr">
        <is>
          <t>ISO Geneva</t>
        </is>
      </c>
      <c r="Q20" s="317" t="n">
        <v>2007</v>
      </c>
      <c r="R20" s="317" t="inlineStr">
        <is>
          <t>À collecter</t>
        </is>
      </c>
      <c r="S20" s="316" t="inlineStr">
        <is>
          <t>Selon pays</t>
        </is>
      </c>
      <c r="T20" s="290" t="inlineStr">
        <is>
          <t>Universel</t>
        </is>
      </c>
      <c r="U20" s="290" t="inlineStr">
        <is>
          <t>T° surface jusqu'à 75°C sous soleil tropical — source inconfort majeur</t>
        </is>
      </c>
    </row>
    <row r="21">
      <c r="A21" s="316" t="inlineStr">
        <is>
          <t>REF5</t>
        </is>
      </c>
      <c r="B21" s="316" t="inlineStr">
        <is>
          <t>Tous pays</t>
        </is>
      </c>
      <c r="C21" s="316" t="inlineStr">
        <is>
          <t>ALL</t>
        </is>
      </c>
      <c r="D21" s="290" t="inlineStr">
        <is>
          <t>Tôle + faux-plafond isolant</t>
        </is>
      </c>
      <c r="E21" s="290" t="inlineStr">
        <is>
          <t>Toiture conventionnelle</t>
        </is>
      </c>
      <c r="F21" s="317" t="n">
        <v>0.35</v>
      </c>
      <c r="G21" s="317" t="n">
        <v>200</v>
      </c>
      <c r="H21" s="317" t="n">
        <v>1200</v>
      </c>
      <c r="I21" s="317" t="n">
        <v>15</v>
      </c>
      <c r="J21" s="318">
        <f>ROUND(F21/(G21*H21)*10000000,2)</f>
        <v/>
      </c>
      <c r="K21" s="318">
        <f>ROUND(SQRT(F21*G21*H21),0)</f>
        <v/>
      </c>
      <c r="L21" s="318">
        <f>ROUND(SQRT(F21*86400/(PI()*G21*H21)),3)</f>
        <v/>
      </c>
      <c r="M21" s="316" t="inlineStr">
        <is>
          <t>N3</t>
        </is>
      </c>
      <c r="N21" s="290" t="inlineStr">
        <is>
          <t>Calcul ISO 6946 combiné tôle + lame d'air + faux-plafond</t>
        </is>
      </c>
      <c r="O21" s="290" t="inlineStr">
        <is>
          <t>Onyegiri 2016 + ISO 6946</t>
        </is>
      </c>
      <c r="P21" s="290" t="inlineStr">
        <is>
          <t>NBRRI Nigeria</t>
        </is>
      </c>
      <c r="Q21" s="317" t="n">
        <v>2016</v>
      </c>
      <c r="R21" s="317" t="inlineStr">
        <is>
          <t>À collecter</t>
        </is>
      </c>
      <c r="S21" s="316" t="inlineStr">
        <is>
          <t>Selon pays</t>
        </is>
      </c>
      <c r="T21" s="290" t="inlineStr">
        <is>
          <t>Universel</t>
        </is>
      </c>
      <c r="U21" s="290" t="inlineStr">
        <is>
          <t>Faux-plafond + lame d'air réduit U de 7.5 à ~1.4 W/m²K</t>
        </is>
      </c>
    </row>
    <row r="22">
      <c r="A22" s="316" t="inlineStr">
        <is>
          <t>REF6</t>
        </is>
      </c>
      <c r="B22" s="316" t="inlineStr">
        <is>
          <t>Tous pays</t>
        </is>
      </c>
      <c r="C22" s="316" t="inlineStr">
        <is>
          <t>ALL</t>
        </is>
      </c>
      <c r="D22" s="290" t="inlineStr">
        <is>
          <t>Chaume standard 15cm</t>
        </is>
      </c>
      <c r="E22" s="290" t="inlineStr">
        <is>
          <t>Toiture conventionnelle</t>
        </is>
      </c>
      <c r="F22" s="317" t="n">
        <v>0.07000000000000001</v>
      </c>
      <c r="G22" s="317" t="n">
        <v>150</v>
      </c>
      <c r="H22" s="317" t="n">
        <v>1500</v>
      </c>
      <c r="I22" s="317" t="n">
        <v>15</v>
      </c>
      <c r="J22" s="318">
        <f>ROUND(F22/(G22*H22)*10000000,2)</f>
        <v/>
      </c>
      <c r="K22" s="318">
        <f>ROUND(SQRT(F22*G22*H22),0)</f>
        <v/>
      </c>
      <c r="L22" s="318">
        <f>ROUND(SQRT(F22*86400/(PI()*G22*H22)),3)</f>
        <v/>
      </c>
      <c r="M22" s="316" t="inlineStr">
        <is>
          <t>N3</t>
        </is>
      </c>
      <c r="N22" s="290" t="inlineStr">
        <is>
          <t>Kolås T. et al. 2021 — chaume standard 15cm — ep fixe</t>
        </is>
      </c>
      <c r="O22" s="290" t="inlineStr">
        <is>
          <t>DOI:10.1016/j.enbuild.2021.111531</t>
        </is>
      </c>
      <c r="P22" s="290" t="inlineStr">
        <is>
          <t>IEA</t>
        </is>
      </c>
      <c r="Q22" s="317" t="n">
        <v>2021</v>
      </c>
      <c r="R22" s="317" t="inlineStr">
        <is>
          <t>À collecter</t>
        </is>
      </c>
      <c r="S22" s="316" t="inlineStr">
        <is>
          <t>Selon pays</t>
        </is>
      </c>
      <c r="T22" s="290" t="inlineStr">
        <is>
          <t>Disponible zones rurales</t>
        </is>
      </c>
      <c r="U22" s="290" t="inlineStr">
        <is>
          <t>Isolation naturelle performante — maintien patrimoine vernaculaire</t>
        </is>
      </c>
    </row>
    <row r="23">
      <c r="A23" s="316" t="inlineStr">
        <is>
          <t>REF7</t>
        </is>
      </c>
      <c r="B23" s="316" t="inlineStr">
        <is>
          <t>Tous pays</t>
        </is>
      </c>
      <c r="C23" s="316" t="inlineStr">
        <is>
          <t>ALL</t>
        </is>
      </c>
      <c r="D23" s="290" t="inlineStr">
        <is>
          <t>Brique terre cuite pleine 20cm</t>
        </is>
      </c>
      <c r="E23" s="290" t="inlineStr">
        <is>
          <t>Mur conventionnel</t>
        </is>
      </c>
      <c r="F23" s="317" t="n">
        <v>0.52</v>
      </c>
      <c r="G23" s="317" t="n">
        <v>1700</v>
      </c>
      <c r="H23" s="317" t="n">
        <v>920</v>
      </c>
      <c r="I23" s="317" t="n">
        <v>20</v>
      </c>
      <c r="J23" s="318">
        <f>ROUND(F23/(G23*H23)*10000000,2)</f>
        <v/>
      </c>
      <c r="K23" s="318">
        <f>ROUND(SQRT(F23*G23*H23),0)</f>
        <v/>
      </c>
      <c r="L23" s="318">
        <f>ROUND(SQRT(F23*86400/(PI()*G23*H23)),3)</f>
        <v/>
      </c>
      <c r="M23" s="316" t="inlineStr">
        <is>
          <t>N3</t>
        </is>
      </c>
      <c r="N23" s="290" t="inlineStr">
        <is>
          <t>ISO 10456:2007 — brique terre cuite — DOUBLON de B12 — voir note</t>
        </is>
      </c>
      <c r="O23" s="290" t="inlineStr">
        <is>
          <t>ISO 10456:2007</t>
        </is>
      </c>
      <c r="P23" s="290" t="inlineStr">
        <is>
          <t>ISO Geneva</t>
        </is>
      </c>
      <c r="Q23" s="317" t="n">
        <v>2007</v>
      </c>
      <c r="R23" s="317" t="inlineStr">
        <is>
          <t>À collecter</t>
        </is>
      </c>
      <c r="S23" s="316" t="inlineStr">
        <is>
          <t>Selon pays</t>
        </is>
      </c>
      <c r="T23" s="290" t="inlineStr">
        <is>
          <t>Plusieurs pays du panel</t>
        </is>
      </c>
      <c r="U23" s="290" t="inlineStr">
        <is>
          <t>Performance intermédiaire — moins commun en Afrique tropicale</t>
        </is>
      </c>
    </row>
    <row r="24">
      <c r="A24" s="316" t="inlineStr">
        <is>
          <t>BF01</t>
        </is>
      </c>
      <c r="B24" s="316" t="inlineStr">
        <is>
          <t>Burkina Faso</t>
        </is>
      </c>
      <c r="C24" s="316" t="inlineStr">
        <is>
          <t>BF</t>
        </is>
      </c>
      <c r="D24" s="290" t="inlineStr">
        <is>
          <t>BTC optimisé 2iE Ouagadougou</t>
        </is>
      </c>
      <c r="E24" s="290" t="inlineStr">
        <is>
          <t>Mur porteur</t>
        </is>
      </c>
      <c r="F24" s="317" t="n">
        <v>0.87</v>
      </c>
      <c r="G24" s="317" t="n">
        <v>1800</v>
      </c>
      <c r="H24" s="317" t="n">
        <v>880</v>
      </c>
      <c r="I24" s="317" t="n">
        <v>15</v>
      </c>
      <c r="J24" s="318">
        <f>ROUND(F24/(G24*H24)*10000000,2)</f>
        <v/>
      </c>
      <c r="K24" s="318">
        <f>ROUND(SQRT(F24*G24*H24),0)</f>
        <v/>
      </c>
      <c r="L24" s="318">
        <f>ROUND(SQRT(F24*86400/(PI()*G24*H24)),3)</f>
        <v/>
      </c>
      <c r="M24" s="316" t="inlineStr">
        <is>
          <t>N2</t>
        </is>
      </c>
      <c r="N24" s="290" t="inlineStr">
        <is>
          <t>Hema C. &amp; Messan A. 2021 J.Build.Eng. DOI:10.1016/j.jobe.2021.102576</t>
        </is>
      </c>
      <c r="O24" s="290" t="inlineStr">
        <is>
          <t>DOI:10.1016/j.jobe.2021.102576</t>
        </is>
      </c>
      <c r="P24" s="290" t="inlineStr">
        <is>
          <t>2iE Ouagadougou</t>
        </is>
      </c>
      <c r="Q24" s="317" t="n">
        <v>2021</v>
      </c>
      <c r="R24" s="317" t="n">
        <v>17000</v>
      </c>
      <c r="S24" s="316" t="inlineStr">
        <is>
          <t>FCFA</t>
        </is>
      </c>
      <c r="T24" s="290" t="inlineStr">
        <is>
          <t>Production locale Ouagadougou</t>
        </is>
      </c>
      <c r="U24" s="290" t="inlineStr">
        <is>
          <t>Formulation optimisée 2iE — référence Burkina Faso</t>
        </is>
      </c>
    </row>
    <row r="25">
      <c r="A25" s="316" t="inlineStr">
        <is>
          <t>BF02</t>
        </is>
      </c>
      <c r="B25" s="316" t="inlineStr">
        <is>
          <t>Burkina Faso</t>
        </is>
      </c>
      <c r="C25" s="316" t="inlineStr">
        <is>
          <t>BF</t>
        </is>
      </c>
      <c r="D25" s="290" t="inlineStr">
        <is>
          <t>Latérite taillée Bobo-Dioulasso</t>
        </is>
      </c>
      <c r="E25" s="290" t="inlineStr">
        <is>
          <t>Mur porteur</t>
        </is>
      </c>
      <c r="F25" s="317" t="n">
        <v>0.63</v>
      </c>
      <c r="G25" s="317" t="n">
        <v>1900</v>
      </c>
      <c r="H25" s="317" t="n">
        <v>900</v>
      </c>
      <c r="I25" s="317" t="n">
        <v>20</v>
      </c>
      <c r="J25" s="318">
        <f>ROUND(F25/(G25*H25)*10000000,2)</f>
        <v/>
      </c>
      <c r="K25" s="318">
        <f>ROUND(SQRT(F25*G25*H25),0)</f>
        <v/>
      </c>
      <c r="L25" s="318">
        <f>ROUND(SQRT(F25*86400/(PI()*G25*H25)),3)</f>
        <v/>
      </c>
      <c r="M25" s="316" t="inlineStr">
        <is>
          <t>N2</t>
        </is>
      </c>
      <c r="N25" s="290" t="inlineStr">
        <is>
          <t>Lawane G. &amp; Messan A. 2014 ASCE JMCE — latérite Bobo-Dioulasso</t>
        </is>
      </c>
      <c r="O25" s="290" t="inlineStr">
        <is>
          <t>DOI:10.1061/(ASCE)MT.1943-5533</t>
        </is>
      </c>
      <c r="P25" s="290" t="inlineStr">
        <is>
          <t>2iE Burkina Faso</t>
        </is>
      </c>
      <c r="Q25" s="317" t="n">
        <v>2014</v>
      </c>
      <c r="R25" s="317" t="n">
        <v>12000</v>
      </c>
      <c r="S25" s="316" t="inlineStr">
        <is>
          <t>FCFA</t>
        </is>
      </c>
      <c r="T25" s="290" t="inlineStr">
        <is>
          <t>Abondant Centre-Ouest Burkina</t>
        </is>
      </c>
      <c r="U25" s="290" t="inlineStr">
        <is>
          <t>Pierre de taille latéritique — bonne inertie — technique traditionnelle</t>
        </is>
      </c>
    </row>
    <row r="26">
      <c r="A26" s="316" t="inlineStr">
        <is>
          <t>BF03</t>
        </is>
      </c>
      <c r="B26" s="316" t="inlineStr">
        <is>
          <t>Burkina Faso</t>
        </is>
      </c>
      <c r="C26" s="316" t="inlineStr">
        <is>
          <t>BF</t>
        </is>
      </c>
      <c r="D26" s="290" t="inlineStr">
        <is>
          <t>Adobe/Pisé Ouagadougou</t>
        </is>
      </c>
      <c r="E26" s="290" t="inlineStr">
        <is>
          <t>Mur porteur</t>
        </is>
      </c>
      <c r="F26" s="317" t="n">
        <v>0.65</v>
      </c>
      <c r="G26" s="317" t="n">
        <v>1700</v>
      </c>
      <c r="H26" s="317" t="n">
        <v>950</v>
      </c>
      <c r="I26" s="317" t="n">
        <v>20</v>
      </c>
      <c r="J26" s="318">
        <f>ROUND(F26/(G26*H26)*10000000,2)</f>
        <v/>
      </c>
      <c r="K26" s="318">
        <f>ROUND(SQRT(F26*G26*H26),0)</f>
        <v/>
      </c>
      <c r="L26" s="318">
        <f>ROUND(SQRT(F26*86400/(PI()*G26*H26)),3)</f>
        <v/>
      </c>
      <c r="M26" s="316" t="inlineStr">
        <is>
          <t>N2</t>
        </is>
      </c>
      <c r="N26" s="290" t="inlineStr">
        <is>
          <t>Imbga O. &amp; Messan A. 2023 — analogie pisé Ouagadougou</t>
        </is>
      </c>
      <c r="O26" s="290" t="inlineStr">
        <is>
          <t>Imbga &amp; Messan 2023 — ASCE analogie</t>
        </is>
      </c>
      <c r="P26" s="290" t="inlineStr">
        <is>
          <t>2iE Ouagadougou</t>
        </is>
      </c>
      <c r="Q26" s="317" t="n">
        <v>2023</v>
      </c>
      <c r="R26" s="317" t="n">
        <v>5000</v>
      </c>
      <c r="S26" s="316" t="inlineStr">
        <is>
          <t>FCFA</t>
        </is>
      </c>
      <c r="T26" s="290" t="inlineStr">
        <is>
          <t>Disponible zones rurales</t>
        </is>
      </c>
      <c r="U26" s="290" t="inlineStr">
        <is>
          <t>Technique traditionnelle dominante zones rurales Burkina</t>
        </is>
      </c>
    </row>
    <row r="27">
      <c r="A27" s="316" t="inlineStr">
        <is>
          <t>BF04</t>
        </is>
      </c>
      <c r="B27" s="316" t="inlineStr">
        <is>
          <t>Burkina Faso</t>
        </is>
      </c>
      <c r="C27" s="316" t="inlineStr">
        <is>
          <t>BF</t>
        </is>
      </c>
      <c r="D27" s="290" t="inlineStr">
        <is>
          <t>Voûte nubienne terre crue</t>
        </is>
      </c>
      <c r="E27" s="290" t="inlineStr">
        <is>
          <t>Toiture locale</t>
        </is>
      </c>
      <c r="F27" s="317" t="n">
        <v>0.75</v>
      </c>
      <c r="G27" s="317" t="n">
        <v>1600</v>
      </c>
      <c r="H27" s="317" t="n">
        <v>900</v>
      </c>
      <c r="I27" s="317" t="n">
        <v>8</v>
      </c>
      <c r="J27" s="318">
        <f>ROUND(F27/(G27*H27)*10000000,2)</f>
        <v/>
      </c>
      <c r="K27" s="318">
        <f>ROUND(SQRT(F27*G27*H27),0)</f>
        <v/>
      </c>
      <c r="L27" s="318">
        <f>ROUND(SQRT(F27*86400/(PI()*G27*H27)),3)</f>
        <v/>
      </c>
      <c r="M27" s="316" t="inlineStr">
        <is>
          <t>N2</t>
        </is>
      </c>
      <c r="N27" s="290" t="inlineStr">
        <is>
          <t>La Voûte Nubienne 2023 lavoutenubienne.org — ep 8cm fixe</t>
        </is>
      </c>
      <c r="O27" s="290" t="inlineStr">
        <is>
          <t>lavoutenubienne.org — données techniques publiées</t>
        </is>
      </c>
      <c r="P27" s="290" t="inlineStr">
        <is>
          <t>Association LVN</t>
        </is>
      </c>
      <c r="Q27" s="317" t="n">
        <v>2023</v>
      </c>
      <c r="R27" s="317" t="n">
        <v>20000</v>
      </c>
      <c r="S27" s="316" t="inlineStr">
        <is>
          <t>FCFA</t>
        </is>
      </c>
      <c r="T27" s="290" t="inlineStr">
        <is>
          <t>Sahel — Nord Burkina, Mali, Niger</t>
        </is>
      </c>
      <c r="U27" s="290" t="inlineStr">
        <is>
          <t>Architecture sans bois ni tôle — confort thermique remarquable — patrimoine sahélien</t>
        </is>
      </c>
    </row>
    <row r="28">
      <c r="A28" s="316" t="inlineStr">
        <is>
          <t>NG01</t>
        </is>
      </c>
      <c r="B28" s="316" t="inlineStr">
        <is>
          <t>Nigeria</t>
        </is>
      </c>
      <c r="C28" s="316" t="inlineStr">
        <is>
          <t>NG</t>
        </is>
      </c>
      <c r="D28" s="290" t="inlineStr">
        <is>
          <t>Latérite compactée Ota</t>
        </is>
      </c>
      <c r="E28" s="290" t="inlineStr">
        <is>
          <t>Mur porteur</t>
        </is>
      </c>
      <c r="F28" s="317" t="n">
        <v>0.7</v>
      </c>
      <c r="G28" s="317" t="n">
        <v>1850</v>
      </c>
      <c r="H28" s="317" t="n">
        <v>900</v>
      </c>
      <c r="I28" s="317" t="n">
        <v>20</v>
      </c>
      <c r="J28" s="318">
        <f>ROUND(F28/(G28*H28)*10000000,2)</f>
        <v/>
      </c>
      <c r="K28" s="318">
        <f>ROUND(SQRT(F28*G28*H28),0)</f>
        <v/>
      </c>
      <c r="L28" s="318">
        <f>ROUND(SQRT(F28*86400/(PI()*G28*H28)),3)</f>
        <v/>
      </c>
      <c r="M28" s="316" t="inlineStr">
        <is>
          <t>N2</t>
        </is>
      </c>
      <c r="N28" s="290" t="inlineStr">
        <is>
          <t>Adekoya B.L. &amp; Ekandem E.S. 2014 IJEAS Vol.1(10) — latérite Ota</t>
        </is>
      </c>
      <c r="O28" s="290" t="inlineStr">
        <is>
          <t>Adekoya &amp; Ekandem 2014 IJEAS Vol.1(10)</t>
        </is>
      </c>
      <c r="P28" s="290" t="inlineStr">
        <is>
          <t>OAU Ife / NBRRI</t>
        </is>
      </c>
      <c r="Q28" s="317" t="n">
        <v>2014</v>
      </c>
      <c r="R28" s="317" t="n">
        <v>3800</v>
      </c>
      <c r="S28" s="316" t="inlineStr">
        <is>
          <t>NGN</t>
        </is>
      </c>
      <c r="T28" s="290" t="inlineStr">
        <is>
          <t>Disponible sud et centre Nigeria</t>
        </is>
      </c>
      <c r="U28" s="290" t="inlineStr">
        <is>
          <t>Zone Ota Ogun State — données expérimentales directes</t>
        </is>
      </c>
    </row>
    <row r="29">
      <c r="A29" s="316" t="inlineStr">
        <is>
          <t>NG02</t>
        </is>
      </c>
      <c r="B29" s="316" t="inlineStr">
        <is>
          <t>Nigeria</t>
        </is>
      </c>
      <c r="C29" s="316" t="inlineStr">
        <is>
          <t>NG</t>
        </is>
      </c>
      <c r="D29" s="290" t="inlineStr">
        <is>
          <t>BTC configurations nord-ouest</t>
        </is>
      </c>
      <c r="E29" s="290" t="inlineStr">
        <is>
          <t>Mur porteur</t>
        </is>
      </c>
      <c r="F29" s="317" t="n">
        <v>0.82</v>
      </c>
      <c r="G29" s="317" t="n">
        <v>1780</v>
      </c>
      <c r="H29" s="317" t="n">
        <v>880</v>
      </c>
      <c r="I29" s="317" t="n">
        <v>15</v>
      </c>
      <c r="J29" s="318">
        <f>ROUND(F29/(G29*H29)*10000000,2)</f>
        <v/>
      </c>
      <c r="K29" s="318">
        <f>ROUND(SQRT(F29*G29*H29),0)</f>
        <v/>
      </c>
      <c r="L29" s="318">
        <f>ROUND(SQRT(F29*86400/(PI()*G29*H29)),3)</f>
        <v/>
      </c>
      <c r="M29" s="316" t="inlineStr">
        <is>
          <t>N2</t>
        </is>
      </c>
      <c r="N29" s="290" t="inlineStr">
        <is>
          <t>Maimagani A.B. 2022 IJBES DOI:10.11113/ijbes.v10.n1.1069</t>
        </is>
      </c>
      <c r="O29" s="290" t="inlineStr">
        <is>
          <t>DOI:10.11113/ijbes.v10.n1.1069</t>
        </is>
      </c>
      <c r="P29" s="290" t="inlineStr">
        <is>
          <t>UTM / NBRRI Nigeria</t>
        </is>
      </c>
      <c r="Q29" s="317" t="n">
        <v>2022</v>
      </c>
      <c r="R29" s="317" t="n">
        <v>3500</v>
      </c>
      <c r="S29" s="316" t="inlineStr">
        <is>
          <t>NGN</t>
        </is>
      </c>
      <c r="T29" s="290" t="inlineStr">
        <is>
          <t>Nord-Ouest Nigeria (Sokoto, Katsina)</t>
        </is>
      </c>
      <c r="U29" s="290" t="inlineStr">
        <is>
          <t>Multiple configurations testées — valeur moyenne retenue</t>
        </is>
      </c>
    </row>
    <row r="30">
      <c r="A30" s="316" t="inlineStr">
        <is>
          <t>NG03</t>
        </is>
      </c>
      <c r="B30" s="316" t="inlineStr">
        <is>
          <t>Nigeria</t>
        </is>
      </c>
      <c r="C30" s="316" t="inlineStr">
        <is>
          <t>NG</t>
        </is>
      </c>
      <c r="D30" s="290" t="inlineStr">
        <is>
          <t>Adobe Mubi nord-est Nigeria</t>
        </is>
      </c>
      <c r="E30" s="290" t="inlineStr">
        <is>
          <t>Mur porteur</t>
        </is>
      </c>
      <c r="F30" s="317" t="n">
        <v>0.55</v>
      </c>
      <c r="G30" s="317" t="n">
        <v>1600</v>
      </c>
      <c r="H30" s="317" t="n">
        <v>1000</v>
      </c>
      <c r="I30" s="317" t="n">
        <v>20</v>
      </c>
      <c r="J30" s="318">
        <f>ROUND(F30/(G30*H30)*10000000,2)</f>
        <v/>
      </c>
      <c r="K30" s="318">
        <f>ROUND(SQRT(F30*G30*H30),0)</f>
        <v/>
      </c>
      <c r="L30" s="318">
        <f>ROUND(SQRT(F30*86400/(PI()*G30*H30)),3)</f>
        <v/>
      </c>
      <c r="M30" s="316" t="inlineStr">
        <is>
          <t>N2</t>
        </is>
      </c>
      <c r="N30" s="290" t="inlineStr">
        <is>
          <t>Abdulazeez M. 2020 Asian J.Applied Sci. Vol.8(4) — adobe Mubi</t>
        </is>
      </c>
      <c r="O30" s="290" t="inlineStr">
        <is>
          <t>AJAS Vol.8 No.4 2020</t>
        </is>
      </c>
      <c r="P30" s="290" t="inlineStr">
        <is>
          <t>Université Maiduguri</t>
        </is>
      </c>
      <c r="Q30" s="317" t="n">
        <v>2020</v>
      </c>
      <c r="R30" s="317" t="n">
        <v>2000</v>
      </c>
      <c r="S30" s="316" t="inlineStr">
        <is>
          <t>NGN</t>
        </is>
      </c>
      <c r="T30" s="290" t="inlineStr">
        <is>
          <t>Nord-Est Nigeria (Adamawa, Borno)</t>
        </is>
      </c>
      <c r="U30" s="290" t="inlineStr">
        <is>
          <t>Adobe traditionnel Mubi — zone sahélienne — bon rapport coût/performance</t>
        </is>
      </c>
    </row>
    <row r="31">
      <c r="A31" s="316" t="inlineStr">
        <is>
          <t>NG04</t>
        </is>
      </c>
      <c r="B31" s="316" t="inlineStr">
        <is>
          <t>Nigeria</t>
        </is>
      </c>
      <c r="C31" s="316" t="inlineStr">
        <is>
          <t>NG</t>
        </is>
      </c>
      <c r="D31" s="290" t="inlineStr">
        <is>
          <t>Coque palmier à huile isolant</t>
        </is>
      </c>
      <c r="E31" s="290" t="inlineStr">
        <is>
          <t>Toiture locale</t>
        </is>
      </c>
      <c r="F31" s="317" t="n">
        <v>0.18</v>
      </c>
      <c r="G31" s="317" t="n">
        <v>550</v>
      </c>
      <c r="H31" s="317" t="n">
        <v>1600</v>
      </c>
      <c r="I31" s="317" t="n">
        <v>10</v>
      </c>
      <c r="J31" s="318">
        <f>ROUND(F31/(G31*H31)*10000000,2)</f>
        <v/>
      </c>
      <c r="K31" s="318">
        <f>ROUND(SQRT(F31*G31*H31),0)</f>
        <v/>
      </c>
      <c r="L31" s="318">
        <f>ROUND(SQRT(F31*86400/(PI()*G31*H31)),3)</f>
        <v/>
      </c>
      <c r="M31" s="316" t="inlineStr">
        <is>
          <t>N2</t>
        </is>
      </c>
      <c r="N31" s="290" t="inlineStr">
        <is>
          <t>Meukam P. 2004 analogie Nigeria — coque palmier 10cm — ep fixe</t>
        </is>
      </c>
      <c r="O31" s="290" t="inlineStr">
        <is>
          <t>DOI:10.1016/j.conbuildmat.2004.03.010 — analogie</t>
        </is>
      </c>
      <c r="P31" s="290" t="inlineStr">
        <is>
          <t>NBRRI Lagos</t>
        </is>
      </c>
      <c r="Q31" s="317" t="n">
        <v>2004</v>
      </c>
      <c r="R31" s="317" t="n">
        <v>1500</v>
      </c>
      <c r="S31" s="316" t="inlineStr">
        <is>
          <t>NGN</t>
        </is>
      </c>
      <c r="T31" s="290" t="inlineStr">
        <is>
          <t>Disponible zones productrices huile de palme</t>
        </is>
      </c>
      <c r="U31" s="290" t="inlineStr">
        <is>
          <t>Sous-produit abondant — bon isolant — valorisation déchet agricole</t>
        </is>
      </c>
    </row>
    <row r="32">
      <c r="A32" s="316" t="inlineStr">
        <is>
          <t>NG05</t>
        </is>
      </c>
      <c r="B32" s="316" t="inlineStr">
        <is>
          <t>Nigeria</t>
        </is>
      </c>
      <c r="C32" s="316" t="inlineStr">
        <is>
          <t>NG</t>
        </is>
      </c>
      <c r="D32" s="290" t="inlineStr">
        <is>
          <t>Balle de riz composite</t>
        </is>
      </c>
      <c r="E32" s="290" t="inlineStr">
        <is>
          <t>Isolation biosourcée</t>
        </is>
      </c>
      <c r="F32" s="317" t="n">
        <v>0.09</v>
      </c>
      <c r="G32" s="317" t="n">
        <v>200</v>
      </c>
      <c r="H32" s="317" t="n">
        <v>1800</v>
      </c>
      <c r="I32" s="317" t="n">
        <v>10</v>
      </c>
      <c r="J32" s="318">
        <f>ROUND(F32/(G32*H32)*10000000,2)</f>
        <v/>
      </c>
      <c r="K32" s="318">
        <f>ROUND(SQRT(F32*G32*H32),0)</f>
        <v/>
      </c>
      <c r="L32" s="318">
        <f>ROUND(SQRT(F32*86400/(PI()*G32*H32)),3)</f>
        <v/>
      </c>
      <c r="M32" s="316" t="inlineStr">
        <is>
          <t>N2</t>
        </is>
      </c>
      <c r="N32" s="290" t="inlineStr">
        <is>
          <t>Araüz R.K. 2024 Materials MDPI DOI:10.3390/ma17040891 — balle riz 10cm</t>
        </is>
      </c>
      <c r="O32" s="290" t="inlineStr">
        <is>
          <t>DOI:10.3390/ma17040891</t>
        </is>
      </c>
      <c r="P32" s="290" t="inlineStr">
        <is>
          <t>MDPI analogie Nigeria</t>
        </is>
      </c>
      <c r="Q32" s="317" t="n">
        <v>2024</v>
      </c>
      <c r="R32" s="317" t="n">
        <v>1200</v>
      </c>
      <c r="S32" s="316" t="inlineStr">
        <is>
          <t>NGN</t>
        </is>
      </c>
      <c r="T32" s="290" t="inlineStr">
        <is>
          <t>Nord Nigeria (grand producteur rizicole)</t>
        </is>
      </c>
      <c r="U32" s="290" t="inlineStr">
        <is>
          <t>1er producteur riz Afrique — fort potentiel inexploité</t>
        </is>
      </c>
    </row>
    <row r="33">
      <c r="A33" s="316" t="inlineStr">
        <is>
          <t>CM01</t>
        </is>
      </c>
      <c r="B33" s="316" t="inlineStr">
        <is>
          <t>Cameroun</t>
        </is>
      </c>
      <c r="C33" s="316" t="inlineStr">
        <is>
          <t>CM</t>
        </is>
      </c>
      <c r="D33" s="290" t="inlineStr">
        <is>
          <t>Latérite Yaoundé — MIPROMALO</t>
        </is>
      </c>
      <c r="E33" s="290" t="inlineStr">
        <is>
          <t>Mur porteur</t>
        </is>
      </c>
      <c r="F33" s="317" t="n">
        <v>0.75</v>
      </c>
      <c r="G33" s="317" t="n">
        <v>1900</v>
      </c>
      <c r="H33" s="317" t="n">
        <v>900</v>
      </c>
      <c r="I33" s="317" t="n">
        <v>20</v>
      </c>
      <c r="J33" s="318">
        <f>ROUND(F33/(G33*H33)*10000000,2)</f>
        <v/>
      </c>
      <c r="K33" s="318">
        <f>ROUND(SQRT(F33*G33*H33),0)</f>
        <v/>
      </c>
      <c r="L33" s="318">
        <f>ROUND(SQRT(F33*86400/(PI()*G33*H33)),3)</f>
        <v/>
      </c>
      <c r="M33" s="316" t="inlineStr">
        <is>
          <t>N2</t>
        </is>
      </c>
      <c r="N33" s="290" t="inlineStr">
        <is>
          <t>Meukam P. et al. 2004 CBM DOI:10.1016/j.conbuildmat.2004.03.010</t>
        </is>
      </c>
      <c r="O33" s="290" t="inlineStr">
        <is>
          <t>DOI:10.1016/j.conbuildmat.2004.03.010</t>
        </is>
      </c>
      <c r="P33" s="290" t="inlineStr">
        <is>
          <t>Université Yaoundé I</t>
        </is>
      </c>
      <c r="Q33" s="317" t="n">
        <v>2004</v>
      </c>
      <c r="R33" s="317" t="n">
        <v>12000</v>
      </c>
      <c r="S33" s="316" t="inlineStr">
        <is>
          <t>FCFA</t>
        </is>
      </c>
      <c r="T33" s="290" t="inlineStr">
        <is>
          <t>Disponible Centre-Sud Cameroun</t>
        </is>
      </c>
      <c r="U33" s="290" t="inlineStr">
        <is>
          <t>Référence Afrique centrale — données fiables et reproductibles</t>
        </is>
      </c>
    </row>
    <row r="34">
      <c r="A34" s="316" t="inlineStr">
        <is>
          <t>CM02</t>
        </is>
      </c>
      <c r="B34" s="316" t="inlineStr">
        <is>
          <t>Cameroun</t>
        </is>
      </c>
      <c r="C34" s="316" t="inlineStr">
        <is>
          <t>CM</t>
        </is>
      </c>
      <c r="D34" s="290" t="inlineStr">
        <is>
          <t>BTC stabilisé ciment Cameroun</t>
        </is>
      </c>
      <c r="E34" s="290" t="inlineStr">
        <is>
          <t>Mur porteur</t>
        </is>
      </c>
      <c r="F34" s="317" t="n">
        <v>0.82</v>
      </c>
      <c r="G34" s="317" t="n">
        <v>1800</v>
      </c>
      <c r="H34" s="317" t="n">
        <v>880</v>
      </c>
      <c r="I34" s="317" t="n">
        <v>15</v>
      </c>
      <c r="J34" s="318">
        <f>ROUND(F34/(G34*H34)*10000000,2)</f>
        <v/>
      </c>
      <c r="K34" s="318">
        <f>ROUND(SQRT(F34*G34*H34),0)</f>
        <v/>
      </c>
      <c r="L34" s="318">
        <f>ROUND(SQRT(F34*86400/(PI()*G34*H34)),3)</f>
        <v/>
      </c>
      <c r="M34" s="316" t="inlineStr">
        <is>
          <t>N2</t>
        </is>
      </c>
      <c r="N34" s="290" t="inlineStr">
        <is>
          <t>Nshimiyimana P. et al. 2020 Buildings DOI:10.3390/buildings10090157</t>
        </is>
      </c>
      <c r="O34" s="290" t="inlineStr">
        <is>
          <t>DOI:10.3390/buildings10090157</t>
        </is>
      </c>
      <c r="P34" s="290" t="inlineStr">
        <is>
          <t>Université Catholique Bukavu</t>
        </is>
      </c>
      <c r="Q34" s="317" t="n">
        <v>2020</v>
      </c>
      <c r="R34" s="317" t="n">
        <v>15000</v>
      </c>
      <c r="S34" s="316" t="inlineStr">
        <is>
          <t>FCFA</t>
        </is>
      </c>
      <c r="T34" s="290" t="inlineStr">
        <is>
          <t>Disponible grandes villes Cameroun</t>
        </is>
      </c>
      <c r="U34" s="290" t="inlineStr">
        <is>
          <t>Revue systématique — valeurs médianes retenues</t>
        </is>
      </c>
    </row>
    <row r="35">
      <c r="A35" s="316" t="inlineStr">
        <is>
          <t>CM03</t>
        </is>
      </c>
      <c r="B35" s="316" t="inlineStr">
        <is>
          <t>Cameroun</t>
        </is>
      </c>
      <c r="C35" s="316" t="inlineStr">
        <is>
          <t>CM</t>
        </is>
      </c>
      <c r="D35" s="290" t="inlineStr">
        <is>
          <t>Pierre volcanique tuf Ouest</t>
        </is>
      </c>
      <c r="E35" s="290" t="inlineStr">
        <is>
          <t>Mur porteur</t>
        </is>
      </c>
      <c r="F35" s="317" t="n">
        <v>0.45</v>
      </c>
      <c r="G35" s="317" t="n">
        <v>1400</v>
      </c>
      <c r="H35" s="317" t="n">
        <v>900</v>
      </c>
      <c r="I35" s="317" t="n">
        <v>25</v>
      </c>
      <c r="J35" s="318">
        <f>ROUND(F35/(G35*H35)*10000000,2)</f>
        <v/>
      </c>
      <c r="K35" s="318">
        <f>ROUND(SQRT(F35*G35*H35),0)</f>
        <v/>
      </c>
      <c r="L35" s="318">
        <f>ROUND(SQRT(F35*86400/(PI()*G35*H35)),3)</f>
        <v/>
      </c>
      <c r="M35" s="316" t="inlineStr">
        <is>
          <t>N2</t>
        </is>
      </c>
      <c r="N35" s="290" t="inlineStr">
        <is>
          <t>Meukam 2004 analogie tuf volcanique — valeurs estimées ±15%</t>
        </is>
      </c>
      <c r="O35" s="290" t="inlineStr">
        <is>
          <t>DOI:10.1016/j.conbuildmat.2004.03.010</t>
        </is>
      </c>
      <c r="P35" s="290" t="inlineStr">
        <is>
          <t>Université Yaoundé I</t>
        </is>
      </c>
      <c r="Q35" s="317" t="n">
        <v>2004</v>
      </c>
      <c r="R35" s="317" t="n">
        <v>8000</v>
      </c>
      <c r="S35" s="316" t="inlineStr">
        <is>
          <t>FCFA</t>
        </is>
      </c>
      <c r="T35" s="290" t="inlineStr">
        <is>
          <t>Région Ouest Cameroun (Bafoussam)</t>
        </is>
      </c>
      <c r="U35" s="290" t="inlineStr">
        <is>
          <t>Matériau volcanique unique au Cameroun — très bonne performance</t>
        </is>
      </c>
    </row>
    <row r="36">
      <c r="A36" s="316" t="inlineStr">
        <is>
          <t>CM04</t>
        </is>
      </c>
      <c r="B36" s="316" t="inlineStr">
        <is>
          <t>Cameroun</t>
        </is>
      </c>
      <c r="C36" s="316" t="inlineStr">
        <is>
          <t>CM</t>
        </is>
      </c>
      <c r="D36" s="290" t="inlineStr">
        <is>
          <t>Bois Okoumé 5cm</t>
        </is>
      </c>
      <c r="E36" s="290" t="inlineStr">
        <is>
          <t>Toiture locale</t>
        </is>
      </c>
      <c r="F36" s="317" t="n">
        <v>0.12</v>
      </c>
      <c r="G36" s="317" t="n">
        <v>450</v>
      </c>
      <c r="H36" s="317" t="n">
        <v>1600</v>
      </c>
      <c r="I36" s="317" t="n">
        <v>5</v>
      </c>
      <c r="J36" s="318">
        <f>ROUND(F36/(G36*H36)*10000000,2)</f>
        <v/>
      </c>
      <c r="K36" s="318">
        <f>ROUND(SQRT(F36*G36*H36),0)</f>
        <v/>
      </c>
      <c r="L36" s="318">
        <f>ROUND(SQRT(F36*86400/(PI()*G36*H36)),3)</f>
        <v/>
      </c>
      <c r="M36" s="316" t="inlineStr">
        <is>
          <t>N2</t>
        </is>
      </c>
      <c r="N36" s="290" t="inlineStr">
        <is>
          <t>Mvondo R.R.N. et al. 2019 — Bois Okoumé 5cm — ep fixe</t>
        </is>
      </c>
      <c r="O36" s="290" t="inlineStr">
        <is>
          <t>DOI:10.1007/s00231-019-02795-8</t>
        </is>
      </c>
      <c r="P36" s="290" t="inlineStr">
        <is>
          <t>ENSP Yaoundé</t>
        </is>
      </c>
      <c r="Q36" s="317" t="n">
        <v>2019</v>
      </c>
      <c r="R36" s="317" t="n">
        <v>55000</v>
      </c>
      <c r="S36" s="316" t="inlineStr">
        <is>
          <t>FCFA</t>
        </is>
      </c>
      <c r="T36" s="290" t="inlineStr">
        <is>
          <t>Forêts équatoriales Cameroun Sud</t>
        </is>
      </c>
      <c r="U36" s="290" t="inlineStr">
        <is>
          <t>Bois léger — bon isolant — ressource forestière abondante Cameroun</t>
        </is>
      </c>
    </row>
    <row r="37">
      <c r="A37" s="316" t="inlineStr">
        <is>
          <t>CM05</t>
        </is>
      </c>
      <c r="B37" s="316" t="inlineStr">
        <is>
          <t>Cameroun</t>
        </is>
      </c>
      <c r="C37" s="316" t="inlineStr">
        <is>
          <t>CM</t>
        </is>
      </c>
      <c r="D37" s="290" t="inlineStr">
        <is>
          <t>Adobe/Pisé Grand Nord Cameroun</t>
        </is>
      </c>
      <c r="E37" s="290" t="inlineStr">
        <is>
          <t>Mur porteur</t>
        </is>
      </c>
      <c r="F37" s="317" t="n">
        <v>0.6</v>
      </c>
      <c r="G37" s="317" t="n">
        <v>1650</v>
      </c>
      <c r="H37" s="317" t="n">
        <v>960</v>
      </c>
      <c r="I37" s="317" t="n">
        <v>20</v>
      </c>
      <c r="J37" s="318">
        <f>ROUND(F37/(G37*H37)*10000000,2)</f>
        <v/>
      </c>
      <c r="K37" s="318">
        <f>ROUND(SQRT(F37*G37*H37),0)</f>
        <v/>
      </c>
      <c r="L37" s="318">
        <f>ROUND(SQRT(F37*86400/(PI()*G37*H37)),3)</f>
        <v/>
      </c>
      <c r="M37" s="316" t="inlineStr">
        <is>
          <t>N2</t>
        </is>
      </c>
      <c r="N37" s="290" t="inlineStr">
        <is>
          <t>CRATerre 2006 + Meukam 2004 analogie BSh — adobe Grand Nord CM</t>
        </is>
      </c>
      <c r="O37" s="290" t="inlineStr">
        <is>
          <t>CRATerre 2006 Traité Construction en Terre</t>
        </is>
      </c>
      <c r="P37" s="290" t="inlineStr">
        <is>
          <t>CRATerre Grenoble</t>
        </is>
      </c>
      <c r="Q37" s="317" t="n">
        <v>2006</v>
      </c>
      <c r="R37" s="317" t="n">
        <v>4000</v>
      </c>
      <c r="S37" s="316" t="inlineStr">
        <is>
          <t>FCFA</t>
        </is>
      </c>
      <c r="T37" s="290" t="inlineStr">
        <is>
          <t>Extrême-Nord Cameroun (Maroua, Garoua)</t>
        </is>
      </c>
      <c r="U37" s="290" t="inlineStr">
        <is>
          <t>Technique dominante zone BSh — valorisation patrimoine vernaculaire</t>
        </is>
      </c>
    </row>
    <row r="38">
      <c r="A38" s="316" t="inlineStr">
        <is>
          <t>GH01</t>
        </is>
      </c>
      <c r="B38" s="316" t="inlineStr">
        <is>
          <t>Ghana</t>
        </is>
      </c>
      <c r="C38" s="316" t="inlineStr">
        <is>
          <t>GH</t>
        </is>
      </c>
      <c r="D38" s="290" t="inlineStr">
        <is>
          <t>Latérite compactée Accra-Kumasi</t>
        </is>
      </c>
      <c r="E38" s="290" t="inlineStr">
        <is>
          <t>Mur porteur</t>
        </is>
      </c>
      <c r="F38" s="317" t="n">
        <v>0.68</v>
      </c>
      <c r="G38" s="317" t="n">
        <v>1850</v>
      </c>
      <c r="H38" s="317" t="n">
        <v>900</v>
      </c>
      <c r="I38" s="317" t="n">
        <v>20</v>
      </c>
      <c r="J38" s="318">
        <f>ROUND(F38/(G38*H38)*10000000,2)</f>
        <v/>
      </c>
      <c r="K38" s="318">
        <f>ROUND(SQRT(F38*G38*H38),0)</f>
        <v/>
      </c>
      <c r="L38" s="318">
        <f>ROUND(SQRT(F38*86400/(PI()*G38*H38)),3)</f>
        <v/>
      </c>
      <c r="M38" s="316" t="inlineStr">
        <is>
          <t>N2</t>
        </is>
      </c>
      <c r="N38" s="290" t="inlineStr">
        <is>
          <t>BRRI Kumasi données partielles + Meukam 2004 analogie géologique</t>
        </is>
      </c>
      <c r="O38" s="290" t="inlineStr">
        <is>
          <t>BRRI Ghana — Meukam 2004 analogie régionale</t>
        </is>
      </c>
      <c r="P38" s="290" t="inlineStr">
        <is>
          <t>BRRI Kumasi</t>
        </is>
      </c>
      <c r="Q38" s="317" t="n">
        <v>2021</v>
      </c>
      <c r="R38" s="317" t="n">
        <v>38</v>
      </c>
      <c r="S38" s="316" t="inlineStr">
        <is>
          <t>GHS</t>
        </is>
      </c>
      <c r="T38" s="290" t="inlineStr">
        <is>
          <t>Disponible Sud et Centre Ghana</t>
        </is>
      </c>
      <c r="U38" s="290" t="inlineStr">
        <is>
          <t>Données BRRI partiellement publiées — analogie Cameroun justifiée géologiquement</t>
        </is>
      </c>
    </row>
    <row r="39">
      <c r="A39" s="316" t="inlineStr">
        <is>
          <t>GH02</t>
        </is>
      </c>
      <c r="B39" s="316" t="inlineStr">
        <is>
          <t>Ghana</t>
        </is>
      </c>
      <c r="C39" s="316" t="inlineStr">
        <is>
          <t>GH</t>
        </is>
      </c>
      <c r="D39" s="290" t="inlineStr">
        <is>
          <t>Adobe/Brique crue Nord Ghana</t>
        </is>
      </c>
      <c r="E39" s="290" t="inlineStr">
        <is>
          <t>Mur porteur</t>
        </is>
      </c>
      <c r="F39" s="317" t="n">
        <v>0.52</v>
      </c>
      <c r="G39" s="317" t="n">
        <v>1600</v>
      </c>
      <c r="H39" s="317" t="n">
        <v>1000</v>
      </c>
      <c r="I39" s="317" t="n">
        <v>20</v>
      </c>
      <c r="J39" s="318">
        <f>ROUND(F39/(G39*H39)*10000000,2)</f>
        <v/>
      </c>
      <c r="K39" s="318">
        <f>ROUND(SQRT(F39*G39*H39),0)</f>
        <v/>
      </c>
      <c r="L39" s="318">
        <f>ROUND(SQRT(F39*86400/(PI()*G39*H39)),3)</f>
        <v/>
      </c>
      <c r="M39" s="316" t="inlineStr">
        <is>
          <t>N2</t>
        </is>
      </c>
      <c r="N39" s="290" t="inlineStr">
        <is>
          <t>CRATerre 2006 analogie zone BSh — adobe Nord Ghana</t>
        </is>
      </c>
      <c r="O39" s="290" t="inlineStr">
        <is>
          <t>Analogie zone BSh Afrique — CRATerre 2006</t>
        </is>
      </c>
      <c r="P39" s="290" t="inlineStr">
        <is>
          <t>CRATerre / BRRI</t>
        </is>
      </c>
      <c r="Q39" s="317" t="n">
        <v>2019</v>
      </c>
      <c r="R39" s="317" t="n">
        <v>15</v>
      </c>
      <c r="S39" s="316" t="inlineStr">
        <is>
          <t>GHS</t>
        </is>
      </c>
      <c r="T39" s="290" t="inlineStr">
        <is>
          <t>Disponible Nord Ghana (Tamale, Bolgatanga)</t>
        </is>
      </c>
      <c r="U39" s="290" t="inlineStr">
        <is>
          <t>Technique traditionnelle nord Ghana — zone BSh</t>
        </is>
      </c>
    </row>
    <row r="40">
      <c r="A40" s="316" t="inlineStr">
        <is>
          <t>GH03</t>
        </is>
      </c>
      <c r="B40" s="316" t="inlineStr">
        <is>
          <t>Ghana</t>
        </is>
      </c>
      <c r="C40" s="316" t="inlineStr">
        <is>
          <t>GH</t>
        </is>
      </c>
      <c r="D40" s="290" t="inlineStr">
        <is>
          <t>Bois tropical dur — 8 espèces</t>
        </is>
      </c>
      <c r="E40" s="290" t="inlineStr">
        <is>
          <t>Toiture locale</t>
        </is>
      </c>
      <c r="F40" s="317" t="n">
        <v>0.16</v>
      </c>
      <c r="G40" s="317" t="n">
        <v>700</v>
      </c>
      <c r="H40" s="317" t="n">
        <v>1600</v>
      </c>
      <c r="I40" s="317" t="n">
        <v>5</v>
      </c>
      <c r="J40" s="318">
        <f>ROUND(F40/(G40*H40)*10000000,2)</f>
        <v/>
      </c>
      <c r="K40" s="318">
        <f>ROUND(SQRT(F40*G40*H40),0)</f>
        <v/>
      </c>
      <c r="L40" s="318">
        <f>ROUND(SQRT(F40*86400/(PI()*G40*H40)),3)</f>
        <v/>
      </c>
      <c r="M40" s="316" t="inlineStr">
        <is>
          <t>N2</t>
        </is>
      </c>
      <c r="N40" s="290" t="inlineStr">
        <is>
          <t>Aggrey-Smith S. et al. 2016 IJMSA DOI:10.11648/j.ijmsa.20160503.15 — 5cm</t>
        </is>
      </c>
      <c r="O40" s="290" t="inlineStr">
        <is>
          <t>DOI:10.11648/j.ijmsa.20160503.15</t>
        </is>
      </c>
      <c r="P40" s="290" t="inlineStr">
        <is>
          <t>BRRI Kumasi</t>
        </is>
      </c>
      <c r="Q40" s="317" t="n">
        <v>2016</v>
      </c>
      <c r="R40" s="317" t="n">
        <v>52</v>
      </c>
      <c r="S40" s="316" t="inlineStr">
        <is>
          <t>GHS</t>
        </is>
      </c>
      <c r="T40" s="290" t="inlineStr">
        <is>
          <t>Disponible Ghana Centre-Sud</t>
        </is>
      </c>
      <c r="U40" s="290" t="inlineStr">
        <is>
          <t>8 espèces mesurées — valeur moyenne — λ = 0.12 à 0.22 W/m·K selon espèce</t>
        </is>
      </c>
    </row>
    <row r="41">
      <c r="A41" s="316" t="inlineStr">
        <is>
          <t>SN01</t>
        </is>
      </c>
      <c r="B41" s="316" t="inlineStr">
        <is>
          <t>Sénégal</t>
        </is>
      </c>
      <c r="C41" s="316" t="inlineStr">
        <is>
          <t>SN</t>
        </is>
      </c>
      <c r="D41" s="290" t="inlineStr">
        <is>
          <t>Latérite Dakar-Thiès</t>
        </is>
      </c>
      <c r="E41" s="290" t="inlineStr">
        <is>
          <t>Mur porteur</t>
        </is>
      </c>
      <c r="F41" s="317" t="n">
        <v>0.75</v>
      </c>
      <c r="G41" s="317" t="n">
        <v>1850</v>
      </c>
      <c r="H41" s="317" t="n">
        <v>915</v>
      </c>
      <c r="I41" s="317" t="n">
        <v>20</v>
      </c>
      <c r="J41" s="318">
        <f>ROUND(F41/(G41*H41)*10000000,2)</f>
        <v/>
      </c>
      <c r="K41" s="318">
        <f>ROUND(SQRT(F41*G41*H41),0)</f>
        <v/>
      </c>
      <c r="L41" s="318">
        <f>ROUND(SQRT(F41*86400/(PI()*G41*H41)),3)</f>
        <v/>
      </c>
      <c r="M41" s="316" t="inlineStr">
        <is>
          <t>N2</t>
        </is>
      </c>
      <c r="N41" s="290" t="inlineStr">
        <is>
          <t>Bal H., Jannot Y., Gaye S., Demeurie F. (2013) — Construction and Building Materials 41:586-593</t>
        </is>
      </c>
      <c r="O41" s="290" t="inlineStr">
        <is>
          <t>DOI:10.1016/j.conbuildmat.2012.12.032</t>
        </is>
      </c>
      <c r="P41" s="290" t="inlineStr">
        <is>
          <t>LEPT-UCAD Dakar</t>
        </is>
      </c>
      <c r="Q41" s="317" t="n">
        <v>2013</v>
      </c>
      <c r="R41" s="317" t="n">
        <v>12000</v>
      </c>
      <c r="S41" s="316" t="inlineStr">
        <is>
          <t>FCFA</t>
        </is>
      </c>
      <c r="T41" s="290" t="inlineStr">
        <is>
          <t>Disponible Dakar-Thiès-Kaolack</t>
        </is>
      </c>
      <c r="U41" s="290" t="inlineStr">
        <is>
          <t>Référence sénégalaise — données expérimentales solides | CORRECTION v6 : DOI v5 (10.1016/j.conbuildmat.2011.12.051) faux — DOI réel : .2012.12.032</t>
        </is>
      </c>
    </row>
    <row r="42">
      <c r="A42" s="316" t="inlineStr">
        <is>
          <t>SN02</t>
        </is>
      </c>
      <c r="B42" s="316" t="inlineStr">
        <is>
          <t>Sénégal</t>
        </is>
      </c>
      <c r="C42" s="316" t="inlineStr">
        <is>
          <t>SN</t>
        </is>
      </c>
      <c r="D42" s="290" t="inlineStr">
        <is>
          <t>Brique argile + déchets de mil</t>
        </is>
      </c>
      <c r="E42" s="290" t="inlineStr">
        <is>
          <t>Mur porteur</t>
        </is>
      </c>
      <c r="F42" s="317" t="n">
        <v>0.68</v>
      </c>
      <c r="G42" s="317" t="n">
        <v>1750</v>
      </c>
      <c r="H42" s="317" t="n">
        <v>930</v>
      </c>
      <c r="I42" s="317" t="n">
        <v>15</v>
      </c>
      <c r="J42" s="318">
        <f>ROUND(F42/(G42*H42)*10000000,2)</f>
        <v/>
      </c>
      <c r="K42" s="318">
        <f>ROUND(SQRT(F42*G42*H42),0)</f>
        <v/>
      </c>
      <c r="L42" s="318">
        <f>ROUND(SQRT(F42*86400/(PI()*G42*H42)),3)</f>
        <v/>
      </c>
      <c r="M42" s="316" t="inlineStr">
        <is>
          <t>N2</t>
        </is>
      </c>
      <c r="N42" s="290" t="inlineStr">
        <is>
          <t>Bal H. et al. 2012 CBM vol.31:144 — argile + déchets mil</t>
        </is>
      </c>
      <c r="O42" s="290" t="inlineStr">
        <is>
          <t>CBM vol.31 p.144-150 2012</t>
        </is>
      </c>
      <c r="P42" s="290" t="inlineStr">
        <is>
          <t>LEPT-UCAD Dakar</t>
        </is>
      </c>
      <c r="Q42" s="317" t="n">
        <v>2012</v>
      </c>
      <c r="R42" s="317" t="n">
        <v>9000</v>
      </c>
      <c r="S42" s="316" t="inlineStr">
        <is>
          <t>FCFA</t>
        </is>
      </c>
      <c r="T42" s="290" t="inlineStr">
        <is>
          <t>Centre Sénégal (zone mil)</t>
        </is>
      </c>
      <c r="U42" s="290" t="inlineStr">
        <is>
          <t>Valorisation déchet agricole — bon rapport isolation/coût</t>
        </is>
      </c>
    </row>
    <row r="43">
      <c r="A43" s="316" t="inlineStr">
        <is>
          <t>SN03</t>
        </is>
      </c>
      <c r="B43" s="316" t="inlineStr">
        <is>
          <t>Sénégal</t>
        </is>
      </c>
      <c r="C43" s="316" t="inlineStr">
        <is>
          <t>SN</t>
        </is>
      </c>
      <c r="D43" s="290" t="inlineStr">
        <is>
          <t>Brique argile + Typha australis</t>
        </is>
      </c>
      <c r="E43" s="290" t="inlineStr">
        <is>
          <t>Mur porteur</t>
        </is>
      </c>
      <c r="F43" s="317" t="n">
        <v>0.48</v>
      </c>
      <c r="G43" s="317" t="n">
        <v>1400</v>
      </c>
      <c r="H43" s="317" t="n">
        <v>1100</v>
      </c>
      <c r="I43" s="317" t="n">
        <v>15</v>
      </c>
      <c r="J43" s="318">
        <f>ROUND(F43/(G43*H43)*10000000,2)</f>
        <v/>
      </c>
      <c r="K43" s="318">
        <f>ROUND(SQRT(F43*G43*H43),0)</f>
        <v/>
      </c>
      <c r="L43" s="318">
        <f>ROUND(SQRT(F43*86400/(PI()*G43*H43)),3)</f>
        <v/>
      </c>
      <c r="M43" s="316" t="inlineStr">
        <is>
          <t>N2</t>
        </is>
      </c>
      <c r="N43" s="290" t="inlineStr">
        <is>
          <t>Diallo A. et al. 2024 JSAER — argile + typha australis</t>
        </is>
      </c>
      <c r="O43" s="290" t="inlineStr">
        <is>
          <t>JSAER 2024 Vol.10</t>
        </is>
      </c>
      <c r="P43" s="290" t="inlineStr">
        <is>
          <t>LEPT-UCAD Dakar</t>
        </is>
      </c>
      <c r="Q43" s="317" t="n">
        <v>2024</v>
      </c>
      <c r="R43" s="317" t="n">
        <v>16000</v>
      </c>
      <c r="S43" s="316" t="inlineStr">
        <is>
          <t>FCFA</t>
        </is>
      </c>
      <c r="T43" s="290" t="inlineStr">
        <is>
          <t>Casamance — zones Typha</t>
        </is>
      </c>
      <c r="U43" s="290" t="inlineStr">
        <is>
          <t>Composite innovant — très bon isolant — valorisation ressource locale</t>
        </is>
      </c>
    </row>
    <row r="44">
      <c r="A44" s="316" t="inlineStr">
        <is>
          <t>SN04</t>
        </is>
      </c>
      <c r="B44" s="316" t="inlineStr">
        <is>
          <t>Sénégal</t>
        </is>
      </c>
      <c r="C44" s="316" t="inlineStr">
        <is>
          <t>SN</t>
        </is>
      </c>
      <c r="D44" s="290" t="inlineStr">
        <is>
          <t>Panneau Typha australis 10cm</t>
        </is>
      </c>
      <c r="E44" s="290" t="inlineStr">
        <is>
          <t>Toiture locale</t>
        </is>
      </c>
      <c r="F44" s="317" t="n">
        <v>0.065</v>
      </c>
      <c r="G44" s="317" t="n">
        <v>180</v>
      </c>
      <c r="H44" s="317" t="n">
        <v>1600</v>
      </c>
      <c r="I44" s="317" t="n">
        <v>10</v>
      </c>
      <c r="J44" s="318">
        <f>ROUND(F44/(G44*H44)*10000000,2)</f>
        <v/>
      </c>
      <c r="K44" s="318">
        <f>ROUND(SQRT(F44*G44*H44),0)</f>
        <v/>
      </c>
      <c r="L44" s="318">
        <f>ROUND(SQRT(F44*86400/(PI()*G44*H44)),3)</f>
        <v/>
      </c>
      <c r="M44" s="316" t="inlineStr">
        <is>
          <t>N2</t>
        </is>
      </c>
      <c r="N44" s="290" t="inlineStr">
        <is>
          <t>Diop A. et al. 2021 JSAER 7(12):177-184 — panneau Typha 10cm</t>
        </is>
      </c>
      <c r="O44" s="290" t="inlineStr">
        <is>
          <t>JSAER 7(12):177-184 2020/2021</t>
        </is>
      </c>
      <c r="P44" s="290" t="inlineStr">
        <is>
          <t>LEPT-UCAD Dakar</t>
        </is>
      </c>
      <c r="Q44" s="317" t="n">
        <v>2021</v>
      </c>
      <c r="R44" s="317" t="n">
        <v>22000</v>
      </c>
      <c r="S44" s="316" t="inlineStr">
        <is>
          <t>FCFA</t>
        </is>
      </c>
      <c r="T44" s="290" t="inlineStr">
        <is>
          <t>Casamance — Vallée du fleuve Sénégal</t>
        </is>
      </c>
      <c r="U44" s="290" t="inlineStr">
        <is>
          <t>MEILLEUR ISOLANT NATUREL DOCUMENTÉ AFRIQUE OUEST — λ=0.065 W/m·K — comparable laine de verre</t>
        </is>
      </c>
    </row>
    <row r="45">
      <c r="A45" s="316" t="inlineStr">
        <is>
          <t>KE01</t>
        </is>
      </c>
      <c r="B45" s="316" t="inlineStr">
        <is>
          <t>Kenya</t>
        </is>
      </c>
      <c r="C45" s="316" t="inlineStr">
        <is>
          <t>KE</t>
        </is>
      </c>
      <c r="D45" s="290" t="inlineStr">
        <is>
          <t>ISSB — Interlocking Stabilised Soil Blocks</t>
        </is>
      </c>
      <c r="E45" s="290" t="inlineStr">
        <is>
          <t>Mur porteur</t>
        </is>
      </c>
      <c r="F45" s="317" t="n">
        <v>0.85</v>
      </c>
      <c r="G45" s="317" t="n">
        <v>1800</v>
      </c>
      <c r="H45" s="317" t="n">
        <v>880</v>
      </c>
      <c r="I45" s="317" t="n">
        <v>15</v>
      </c>
      <c r="J45" s="318">
        <f>ROUND(F45/(G45*H45)*10000000,2)</f>
        <v/>
      </c>
      <c r="K45" s="318">
        <f>ROUND(SQRT(F45*G45*H45),0)</f>
        <v/>
      </c>
      <c r="L45" s="318">
        <f>ROUND(SQRT(F45*86400/(PI()*G45*H45)),3)</f>
        <v/>
      </c>
      <c r="M45" s="316" t="inlineStr">
        <is>
          <t>N2</t>
        </is>
      </c>
      <c r="N45" s="290" t="inlineStr">
        <is>
          <t>NCA Kenya Technical Guidelines ISSB 2023 — nca.go.ke</t>
        </is>
      </c>
      <c r="O45" s="290" t="inlineStr">
        <is>
          <t>nca.go.ke — Technical Guidelines ISSB 2023</t>
        </is>
      </c>
      <c r="P45" s="290" t="inlineStr">
        <is>
          <t>NCA Kenya</t>
        </is>
      </c>
      <c r="Q45" s="317" t="n">
        <v>2023</v>
      </c>
      <c r="R45" s="317" t="n">
        <v>850</v>
      </c>
      <c r="S45" s="316" t="inlineStr">
        <is>
          <t>KSH</t>
        </is>
      </c>
      <c r="T45" s="290" t="inlineStr">
        <is>
          <t>Disponible dans tout le Kenya — technologie nationale</t>
        </is>
      </c>
      <c r="U45" s="290" t="inlineStr">
        <is>
          <t>Technologie emblématique kenyan — bien standardisée NCA</t>
        </is>
      </c>
    </row>
    <row r="46">
      <c r="A46" s="316" t="inlineStr">
        <is>
          <t>KE02</t>
        </is>
      </c>
      <c r="B46" s="316" t="inlineStr">
        <is>
          <t>Kenya</t>
        </is>
      </c>
      <c r="C46" s="316" t="inlineStr">
        <is>
          <t>KE</t>
        </is>
      </c>
      <c r="D46" s="290" t="inlineStr">
        <is>
          <t>Adobe/Terre pisée zones rurales</t>
        </is>
      </c>
      <c r="E46" s="290" t="inlineStr">
        <is>
          <t>Mur porteur</t>
        </is>
      </c>
      <c r="F46" s="317" t="n">
        <v>0.58</v>
      </c>
      <c r="G46" s="317" t="n">
        <v>1600</v>
      </c>
      <c r="H46" s="317" t="n">
        <v>950</v>
      </c>
      <c r="I46" s="317" t="n">
        <v>20</v>
      </c>
      <c r="J46" s="318">
        <f>ROUND(F46/(G46*H46)*10000000,2)</f>
        <v/>
      </c>
      <c r="K46" s="318">
        <f>ROUND(SQRT(F46*G46*H46),0)</f>
        <v/>
      </c>
      <c r="L46" s="318">
        <f>ROUND(SQRT(F46*86400/(PI()*G46*H46)),3)</f>
        <v/>
      </c>
      <c r="M46" s="316" t="inlineStr">
        <is>
          <t>N2</t>
        </is>
      </c>
      <c r="N46" s="290" t="inlineStr">
        <is>
          <t>CRATerre 2006 analogie East Africa — adobe zones rurales</t>
        </is>
      </c>
      <c r="O46" s="290" t="inlineStr">
        <is>
          <t>CRATerre 2006 Traité Construction en Terre</t>
        </is>
      </c>
      <c r="P46" s="290" t="inlineStr">
        <is>
          <t>CRATerre / NCA</t>
        </is>
      </c>
      <c r="Q46" s="317" t="n">
        <v>2006</v>
      </c>
      <c r="R46" s="317" t="n">
        <v>400</v>
      </c>
      <c r="S46" s="316" t="inlineStr">
        <is>
          <t>KSH</t>
        </is>
      </c>
      <c r="T46" s="290" t="inlineStr">
        <is>
          <t>Disponible zones rurales — surtout Nord et Centre</t>
        </is>
      </c>
      <c r="U46" s="290" t="inlineStr">
        <is>
          <t>Technique traditionnelle répandue Kenya rural</t>
        </is>
      </c>
    </row>
    <row r="47">
      <c r="A47" s="316" t="inlineStr">
        <is>
          <t>KE03</t>
        </is>
      </c>
      <c r="B47" s="316" t="inlineStr">
        <is>
          <t>Kenya</t>
        </is>
      </c>
      <c r="C47" s="316" t="inlineStr">
        <is>
          <t>KE</t>
        </is>
      </c>
      <c r="D47" s="290" t="inlineStr">
        <is>
          <t>Fibre sisal composite</t>
        </is>
      </c>
      <c r="E47" s="290" t="inlineStr">
        <is>
          <t>Isolation biosourcée</t>
        </is>
      </c>
      <c r="F47" s="317" t="n">
        <v>0.08</v>
      </c>
      <c r="G47" s="317" t="n">
        <v>200</v>
      </c>
      <c r="H47" s="317" t="n">
        <v>1700</v>
      </c>
      <c r="I47" s="317" t="n">
        <v>10</v>
      </c>
      <c r="J47" s="318">
        <f>ROUND(F47/(G47*H47)*10000000,2)</f>
        <v/>
      </c>
      <c r="K47" s="318">
        <f>ROUND(SQRT(F47*G47*H47),0)</f>
        <v/>
      </c>
      <c r="L47" s="318">
        <f>ROUND(SQRT(F47*86400/(PI()*G47*H47)),3)</f>
        <v/>
      </c>
      <c r="M47" s="316" t="inlineStr">
        <is>
          <t>N2</t>
        </is>
      </c>
      <c r="N47" s="290" t="inlineStr">
        <is>
          <t>Mwaikambo L.Y. 2002 J.Appl.Polym.Sci. DOI:10.1002/app.10460 — sisal 10cm</t>
        </is>
      </c>
      <c r="O47" s="290" t="inlineStr">
        <is>
          <t>DOI:10.1002/app.10460</t>
        </is>
      </c>
      <c r="P47" s="290" t="inlineStr">
        <is>
          <t>University of Dar es Salaam</t>
        </is>
      </c>
      <c r="Q47" s="317" t="n">
        <v>2002</v>
      </c>
      <c r="R47" s="317" t="n">
        <v>600</v>
      </c>
      <c r="S47" s="316" t="inlineStr">
        <is>
          <t>KSH</t>
        </is>
      </c>
      <c r="T47" s="290" t="inlineStr">
        <is>
          <t>Kenya — grand producteur sisal mondial</t>
        </is>
      </c>
      <c r="U47" s="290" t="inlineStr">
        <is>
          <t>Données partielles — λ estimé 0.07-0.10 W/m·K</t>
        </is>
      </c>
    </row>
    <row r="48">
      <c r="A48" s="316" t="inlineStr">
        <is>
          <t>ML01</t>
        </is>
      </c>
      <c r="B48" s="316" t="inlineStr">
        <is>
          <t>Mali</t>
        </is>
      </c>
      <c r="C48" s="316" t="inlineStr">
        <is>
          <t>ML</t>
        </is>
      </c>
      <c r="D48" s="290" t="inlineStr">
        <is>
          <t>BTC argiles Dialakoro</t>
        </is>
      </c>
      <c r="E48" s="290" t="inlineStr">
        <is>
          <t>Mur porteur</t>
        </is>
      </c>
      <c r="F48" s="317" t="n">
        <v>0.75</v>
      </c>
      <c r="G48" s="317" t="n">
        <v>1750</v>
      </c>
      <c r="H48" s="317" t="n">
        <v>890</v>
      </c>
      <c r="I48" s="317" t="n">
        <v>15</v>
      </c>
      <c r="J48" s="318">
        <f>ROUND(F48/(G48*H48)*10000000,2)</f>
        <v/>
      </c>
      <c r="K48" s="318">
        <f>ROUND(SQRT(F48*G48*H48),0)</f>
        <v/>
      </c>
      <c r="L48" s="318">
        <f>ROUND(SQRT(F48*86400/(PI()*G48*H48)),3)</f>
        <v/>
      </c>
      <c r="M48" s="316" t="inlineStr">
        <is>
          <t>N2</t>
        </is>
      </c>
      <c r="N48" s="290" t="inlineStr">
        <is>
          <t>Diallo A. et al. (2025) — World Journal of Advanced Research and Reviews 28(01):336-350 — BTC argiles Dialakoro</t>
        </is>
      </c>
      <c r="O48" s="290" t="inlineStr">
        <is>
          <t>DOI:10.30574/wjarr.2025.28.1.3371</t>
        </is>
      </c>
      <c r="P48" s="290" t="inlineStr">
        <is>
          <t>Université Bamako</t>
        </is>
      </c>
      <c r="Q48" s="317" t="n">
        <v>2025</v>
      </c>
      <c r="R48" s="317" t="n">
        <v>14000</v>
      </c>
      <c r="S48" s="316" t="inlineStr">
        <is>
          <t>FCFA</t>
        </is>
      </c>
      <c r="T48" s="290" t="inlineStr">
        <is>
          <t>Region Dialakoro (Ouest Mali)</t>
        </is>
      </c>
      <c r="U48" s="290" t="inlineStr">
        <is>
          <t>Publication la plus récente sur BTC mali — argiles locales | CORRECTION v6 : DOI v5 (25.1) faux — DOI réel : 28.1</t>
        </is>
      </c>
    </row>
    <row r="49">
      <c r="A49" s="316" t="inlineStr">
        <is>
          <t>ML02</t>
        </is>
      </c>
      <c r="B49" s="316" t="inlineStr">
        <is>
          <t>Mali</t>
        </is>
      </c>
      <c r="C49" s="316" t="inlineStr">
        <is>
          <t>ML</t>
        </is>
      </c>
      <c r="D49" s="290" t="inlineStr">
        <is>
          <t>BTC argiles Kita</t>
        </is>
      </c>
      <c r="E49" s="290" t="inlineStr">
        <is>
          <t>Mur porteur</t>
        </is>
      </c>
      <c r="F49" s="317" t="n">
        <v>0.72</v>
      </c>
      <c r="G49" s="317" t="n">
        <v>1730</v>
      </c>
      <c r="H49" s="317" t="n">
        <v>890</v>
      </c>
      <c r="I49" s="317" t="n">
        <v>15</v>
      </c>
      <c r="J49" s="318">
        <f>ROUND(F49/(G49*H49)*10000000,2)</f>
        <v/>
      </c>
      <c r="K49" s="318">
        <f>ROUND(SQRT(F49*G49*H49),0)</f>
        <v/>
      </c>
      <c r="L49" s="318">
        <f>ROUND(SQRT(F49*86400/(PI()*G49*H49)),3)</f>
        <v/>
      </c>
      <c r="M49" s="316" t="inlineStr">
        <is>
          <t>N2</t>
        </is>
      </c>
      <c r="N49" s="290" t="inlineStr">
        <is>
          <t>Diallo A. et al. (2025) — World Journal of Advanced Research and Reviews 28(01):336-350 — BTC argiles Kita</t>
        </is>
      </c>
      <c r="O49" s="290" t="inlineStr">
        <is>
          <t>DOI:10.30574/wjarr.2025.28.1.3371</t>
        </is>
      </c>
      <c r="P49" s="290" t="inlineStr">
        <is>
          <t>Université Bamako</t>
        </is>
      </c>
      <c r="Q49" s="317" t="n">
        <v>2025</v>
      </c>
      <c r="R49" s="317" t="n">
        <v>13000</v>
      </c>
      <c r="S49" s="316" t="inlineStr">
        <is>
          <t>FCFA</t>
        </is>
      </c>
      <c r="T49" s="290" t="inlineStr">
        <is>
          <t>Region Kita (Ouest Mali)</t>
        </is>
      </c>
      <c r="U49" s="290" t="inlineStr">
        <is>
          <t>Argiles de Kita — légèrement moins performant que Dialakoro | CORRECTION v6 : DOI v5 (25.1) faux — DOI réel : 28.1</t>
        </is>
      </c>
    </row>
    <row r="50">
      <c r="A50" s="316" t="inlineStr">
        <is>
          <t>ML03</t>
        </is>
      </c>
      <c r="B50" s="316" t="inlineStr">
        <is>
          <t>Mali</t>
        </is>
      </c>
      <c r="C50" s="316" t="inlineStr">
        <is>
          <t>ML</t>
        </is>
      </c>
      <c r="D50" s="290" t="inlineStr">
        <is>
          <t>Banco/Adobe Djenné</t>
        </is>
      </c>
      <c r="E50" s="290" t="inlineStr">
        <is>
          <t>Mur porteur</t>
        </is>
      </c>
      <c r="F50" s="317" t="n">
        <v>0.55</v>
      </c>
      <c r="G50" s="317" t="n">
        <v>1600</v>
      </c>
      <c r="H50" s="317" t="n">
        <v>1000</v>
      </c>
      <c r="I50" s="317" t="n">
        <v>25</v>
      </c>
      <c r="J50" s="318">
        <f>ROUND(F50/(G50*H50)*10000000,2)</f>
        <v/>
      </c>
      <c r="K50" s="318">
        <f>ROUND(SQRT(F50*G50*H50),0)</f>
        <v/>
      </c>
      <c r="L50" s="318">
        <f>ROUND(SQRT(F50*86400/(PI()*G50*H50)),3)</f>
        <v/>
      </c>
      <c r="M50" s="316" t="inlineStr">
        <is>
          <t>N2</t>
        </is>
      </c>
      <c r="N50" s="290" t="inlineStr">
        <is>
          <t>CRATerre 2006 banco Djenné — LACUNE : 0 mesure publiée avec DOI</t>
        </is>
      </c>
      <c r="O50" s="290" t="inlineStr">
        <is>
          <t>CRATerre 2006 — Traité mondial de référence</t>
        </is>
      </c>
      <c r="P50" s="290" t="inlineStr">
        <is>
          <t>CRATerre Grenoble</t>
        </is>
      </c>
      <c r="Q50" s="317" t="n">
        <v>2006</v>
      </c>
      <c r="R50" s="317" t="n">
        <v>5000</v>
      </c>
      <c r="S50" s="316" t="inlineStr">
        <is>
          <t>FCFA</t>
        </is>
      </c>
      <c r="T50" s="290" t="inlineStr">
        <is>
          <t>Mopti — Djenné — Tombouctou</t>
        </is>
      </c>
      <c r="U50" s="290" t="inlineStr">
        <is>
          <t>LACUNE : 0 mesure thermique publiée avec DOI sur banco Djenné — valeur CRATerre estimée</t>
        </is>
      </c>
    </row>
    <row r="51">
      <c r="A51" s="316" t="inlineStr">
        <is>
          <t>ML04</t>
        </is>
      </c>
      <c r="B51" s="316" t="inlineStr">
        <is>
          <t>Mali</t>
        </is>
      </c>
      <c r="C51" s="316" t="inlineStr">
        <is>
          <t>ML</t>
        </is>
      </c>
      <c r="D51" s="290" t="inlineStr">
        <is>
          <t>Voûte nubienne terre sahélienne</t>
        </is>
      </c>
      <c r="E51" s="290" t="inlineStr">
        <is>
          <t>Toiture locale</t>
        </is>
      </c>
      <c r="F51" s="317" t="n">
        <v>0.72</v>
      </c>
      <c r="G51" s="317" t="n">
        <v>1600</v>
      </c>
      <c r="H51" s="317" t="n">
        <v>900</v>
      </c>
      <c r="I51" s="317" t="n">
        <v>8</v>
      </c>
      <c r="J51" s="318">
        <f>ROUND(F51/(G51*H51)*10000000,2)</f>
        <v/>
      </c>
      <c r="K51" s="318">
        <f>ROUND(SQRT(F51*G51*H51),0)</f>
        <v/>
      </c>
      <c r="L51" s="318">
        <f>ROUND(SQRT(F51*86400/(PI()*G51*H51)),3)</f>
        <v/>
      </c>
      <c r="M51" s="316" t="inlineStr">
        <is>
          <t>N2</t>
        </is>
      </c>
      <c r="N51" s="290" t="inlineStr">
        <is>
          <t>La Voûte Nubienne 2023 analogie mali — ep 8cm fixe</t>
        </is>
      </c>
      <c r="O51" s="290" t="inlineStr">
        <is>
          <t>lavoutenubienne.org + CRATerre 2006</t>
        </is>
      </c>
      <c r="P51" s="290" t="inlineStr">
        <is>
          <t>LVN / CRATerre</t>
        </is>
      </c>
      <c r="Q51" s="317" t="n">
        <v>2023</v>
      </c>
      <c r="R51" s="317" t="n">
        <v>18000</v>
      </c>
      <c r="S51" s="316" t="inlineStr">
        <is>
          <t>FCFA</t>
        </is>
      </c>
      <c r="T51" s="290" t="inlineStr">
        <is>
          <t>Nord Mali — Sahel — sans bois ni tôle</t>
        </is>
      </c>
      <c r="U51" s="290" t="inlineStr">
        <is>
          <t>Architecture sans bois — confort thermique remarquable en zone désertique</t>
        </is>
      </c>
    </row>
    <row r="52">
      <c r="A52" s="316" t="inlineStr">
        <is>
          <t>CI01</t>
        </is>
      </c>
      <c r="B52" s="316" t="inlineStr">
        <is>
          <t>Côte d'Ivoire</t>
        </is>
      </c>
      <c r="C52" s="316" t="inlineStr">
        <is>
          <t>CI</t>
        </is>
      </c>
      <c r="D52" s="290" t="inlineStr">
        <is>
          <t>Latérite compactée — analogie Ghana/Cameroun</t>
        </is>
      </c>
      <c r="E52" s="290" t="inlineStr">
        <is>
          <t>Mur porteur</t>
        </is>
      </c>
      <c r="F52" s="317" t="n">
        <v>0.7</v>
      </c>
      <c r="G52" s="317" t="n">
        <v>1850</v>
      </c>
      <c r="H52" s="317" t="n">
        <v>900</v>
      </c>
      <c r="I52" s="317" t="n">
        <v>20</v>
      </c>
      <c r="J52" s="318">
        <f>ROUND(F52/(G52*H52)*10000000,2)</f>
        <v/>
      </c>
      <c r="K52" s="318">
        <f>ROUND(SQRT(F52*G52*H52),0)</f>
        <v/>
      </c>
      <c r="L52" s="318">
        <f>ROUND(SQRT(F52*86400/(PI()*G52*H52)),3)</f>
        <v/>
      </c>
      <c r="M52" s="316" t="inlineStr">
        <is>
          <t>N2</t>
        </is>
      </c>
      <c r="N52" s="290" t="inlineStr">
        <is>
          <t>ANALOGIE Meukam 2004 CM + BRRI GH — LACUNE CRITIQUE : 0 pub. DOI pour CIV</t>
        </is>
      </c>
      <c r="O52" s="290" t="inlineStr">
        <is>
          <t>DOI:10.1016/j.conbuildmat.2004.03.010 — ANALOGIE</t>
        </is>
      </c>
      <c r="P52" s="290" t="inlineStr">
        <is>
          <t>LBTP Abidjan analogie</t>
        </is>
      </c>
      <c r="Q52" s="317" t="n">
        <v>2004</v>
      </c>
      <c r="R52" s="317" t="n">
        <v>14000</v>
      </c>
      <c r="S52" s="316" t="inlineStr">
        <is>
          <t>FCFA</t>
        </is>
      </c>
      <c r="T52" s="290" t="inlineStr">
        <is>
          <t>Disponible Centre-Nord Côte d'Ivoire</t>
        </is>
      </c>
      <c r="U52" s="290" t="inlineStr">
        <is>
          <t>LACUNE MAJEURE : 0 mesure thermique publiée CIV avec DOI. Analogie géologique justifiée.</t>
        </is>
      </c>
    </row>
    <row r="53">
      <c r="A53" s="316" t="inlineStr">
        <is>
          <t>CI02</t>
        </is>
      </c>
      <c r="B53" s="316" t="inlineStr">
        <is>
          <t>Côte d'Ivoire</t>
        </is>
      </c>
      <c r="C53" s="316" t="inlineStr">
        <is>
          <t>CI</t>
        </is>
      </c>
      <c r="D53" s="290" t="inlineStr">
        <is>
          <t>Adobe/Banco Nord CIV — analogie Mali</t>
        </is>
      </c>
      <c r="E53" s="290" t="inlineStr">
        <is>
          <t>Mur porteur</t>
        </is>
      </c>
      <c r="F53" s="317" t="n">
        <v>0.52</v>
      </c>
      <c r="G53" s="317" t="n">
        <v>1600</v>
      </c>
      <c r="H53" s="317" t="n">
        <v>1000</v>
      </c>
      <c r="I53" s="317" t="n">
        <v>20</v>
      </c>
      <c r="J53" s="318">
        <f>ROUND(F53/(G53*H53)*10000000,2)</f>
        <v/>
      </c>
      <c r="K53" s="318">
        <f>ROUND(SQRT(F53*G53*H53),0)</f>
        <v/>
      </c>
      <c r="L53" s="318">
        <f>ROUND(SQRT(F53*86400/(PI()*G53*H53)),3)</f>
        <v/>
      </c>
      <c r="M53" s="316" t="inlineStr">
        <is>
          <t>N2</t>
        </is>
      </c>
      <c r="N53" s="290" t="inlineStr">
        <is>
          <t>ANALOGIE CRATerre 2006 Mali/BF — LACUNE CRITIQUE : 0 pub. DOI pour CIV</t>
        </is>
      </c>
      <c r="O53" s="290" t="inlineStr">
        <is>
          <t>CRATerre 2006 — ANALOGIE zone BSh</t>
        </is>
      </c>
      <c r="P53" s="290" t="inlineStr">
        <is>
          <t>LBTP Abidjan analogie</t>
        </is>
      </c>
      <c r="Q53" s="317" t="n">
        <v>2006</v>
      </c>
      <c r="R53" s="317" t="n">
        <v>5000</v>
      </c>
      <c r="S53" s="316" t="inlineStr">
        <is>
          <t>FCFA</t>
        </is>
      </c>
      <c r="T53" s="290" t="inlineStr">
        <is>
          <t>Nord Côte d'Ivoire (Korhogo)</t>
        </is>
      </c>
      <c r="U53" s="290" t="inlineStr">
        <is>
          <t>LACUNE MAJEURE : analogie obligatoire — recommander collaboration LBTP-UAC</t>
        </is>
      </c>
    </row>
    <row r="54">
      <c r="A54" s="316" t="inlineStr">
        <is>
          <t>CI03</t>
        </is>
      </c>
      <c r="B54" s="316" t="inlineStr">
        <is>
          <t>Côte d'Ivoire</t>
        </is>
      </c>
      <c r="C54" s="316" t="inlineStr">
        <is>
          <t>CI</t>
        </is>
      </c>
      <c r="D54" s="290" t="inlineStr">
        <is>
          <t>Fibre coco/palmier — analogie Cameroun</t>
        </is>
      </c>
      <c r="E54" s="290" t="inlineStr">
        <is>
          <t>Isolation biosourcée</t>
        </is>
      </c>
      <c r="F54" s="317" t="n">
        <v>0.18</v>
      </c>
      <c r="G54" s="317" t="n">
        <v>500</v>
      </c>
      <c r="H54" s="317" t="n">
        <v>1600</v>
      </c>
      <c r="I54" s="317" t="n">
        <v>10</v>
      </c>
      <c r="J54" s="318">
        <f>ROUND(F54/(G54*H54)*10000000,2)</f>
        <v/>
      </c>
      <c r="K54" s="318">
        <f>ROUND(SQRT(F54*G54*H54),0)</f>
        <v/>
      </c>
      <c r="L54" s="318">
        <f>ROUND(SQRT(F54*86400/(PI()*G54*H54)),3)</f>
        <v/>
      </c>
      <c r="M54" s="316" t="inlineStr">
        <is>
          <t>N2</t>
        </is>
      </c>
      <c r="N54" s="290" t="inlineStr">
        <is>
          <t>ANALOGIE Meukam 2004 CM — LACUNE CRITIQUE : 0 pub. DOI pour CIV</t>
        </is>
      </c>
      <c r="O54" s="290" t="inlineStr">
        <is>
          <t>DOI:10.1016/j.conbuildmat.2004.03.010 — ANALOGIE</t>
        </is>
      </c>
      <c r="P54" s="290" t="inlineStr">
        <is>
          <t>Meukam 2004 analogie</t>
        </is>
      </c>
      <c r="Q54" s="317" t="n">
        <v>2004</v>
      </c>
      <c r="R54" s="317" t="n">
        <v>6000</v>
      </c>
      <c r="S54" s="316" t="inlineStr">
        <is>
          <t>FCFA</t>
        </is>
      </c>
      <c r="T54" s="290" t="inlineStr">
        <is>
          <t>Côte d'Ivoire Sud et Centre</t>
        </is>
      </c>
      <c r="U54" s="290" t="inlineStr">
        <is>
          <t>Sous-produit palmier abondant — valorisation déchet</t>
        </is>
      </c>
    </row>
    <row r="55">
      <c r="A55" s="316" t="inlineStr">
        <is>
          <t>NE01</t>
        </is>
      </c>
      <c r="B55" s="316" t="inlineStr">
        <is>
          <t>Niger</t>
        </is>
      </c>
      <c r="C55" s="316" t="inlineStr">
        <is>
          <t>NE</t>
        </is>
      </c>
      <c r="D55" s="290" t="inlineStr">
        <is>
          <t>BTC déchets de mil — Maradi</t>
        </is>
      </c>
      <c r="E55" s="290" t="inlineStr">
        <is>
          <t>Mur porteur</t>
        </is>
      </c>
      <c r="F55" s="317" t="n">
        <v>0.72</v>
      </c>
      <c r="G55" s="317" t="n">
        <v>1720</v>
      </c>
      <c r="H55" s="317" t="n">
        <v>900</v>
      </c>
      <c r="I55" s="317" t="n">
        <v>15</v>
      </c>
      <c r="J55" s="318">
        <f>ROUND(F55/(G55*H55)*10000000,2)</f>
        <v/>
      </c>
      <c r="K55" s="318">
        <f>ROUND(SQRT(F55*G55*H55),0)</f>
        <v/>
      </c>
      <c r="L55" s="318">
        <f>ROUND(SQRT(F55*86400/(PI()*G55*H55)),3)</f>
        <v/>
      </c>
      <c r="M55" s="316" t="inlineStr">
        <is>
          <t>N2</t>
        </is>
      </c>
      <c r="N55" s="290" t="inlineStr">
        <is>
          <t>Oumarou I. et al. 2023 analogie zone BSh — BTC déchets mil Maradi</t>
        </is>
      </c>
      <c r="O55" s="290" t="inlineStr">
        <is>
          <t>Oumarou 2023 — Google Scholar — Maradi Niger</t>
        </is>
      </c>
      <c r="P55" s="290" t="inlineStr">
        <is>
          <t>Université Maradi</t>
        </is>
      </c>
      <c r="Q55" s="317" t="n">
        <v>2023</v>
      </c>
      <c r="R55" s="317" t="n">
        <v>10000</v>
      </c>
      <c r="S55" s="316" t="inlineStr">
        <is>
          <t>FCFA</t>
        </is>
      </c>
      <c r="T55" s="290" t="inlineStr">
        <is>
          <t>Maradi — Zinder — zones productrices mil</t>
        </is>
      </c>
      <c r="U55" s="290" t="inlineStr">
        <is>
          <t>Valorisation déchets agricoles — 1er producteur mil Afrique</t>
        </is>
      </c>
    </row>
    <row r="56">
      <c r="A56" s="316" t="inlineStr">
        <is>
          <t>NE02</t>
        </is>
      </c>
      <c r="B56" s="316" t="inlineStr">
        <is>
          <t>Niger</t>
        </is>
      </c>
      <c r="C56" s="316" t="inlineStr">
        <is>
          <t>NE</t>
        </is>
      </c>
      <c r="D56" s="290" t="inlineStr">
        <is>
          <t>Banco/Adobe sahélien</t>
        </is>
      </c>
      <c r="E56" s="290" t="inlineStr">
        <is>
          <t>Mur porteur</t>
        </is>
      </c>
      <c r="F56" s="317" t="n">
        <v>0.55</v>
      </c>
      <c r="G56" s="317" t="n">
        <v>1600</v>
      </c>
      <c r="H56" s="317" t="n">
        <v>1000</v>
      </c>
      <c r="I56" s="317" t="n">
        <v>25</v>
      </c>
      <c r="J56" s="318">
        <f>ROUND(F56/(G56*H56)*10000000,2)</f>
        <v/>
      </c>
      <c r="K56" s="318">
        <f>ROUND(SQRT(F56*G56*H56),0)</f>
        <v/>
      </c>
      <c r="L56" s="318">
        <f>ROUND(SQRT(F56*86400/(PI()*G56*H56)),3)</f>
        <v/>
      </c>
      <c r="M56" s="316" t="inlineStr">
        <is>
          <t>N2</t>
        </is>
      </c>
      <c r="N56" s="290" t="inlineStr">
        <is>
          <t>CRATerre 2006 zone sahélienne — banco/adobe Niger</t>
        </is>
      </c>
      <c r="O56" s="290" t="inlineStr">
        <is>
          <t>CRATerre 2006 Traité Construction en Terre</t>
        </is>
      </c>
      <c r="P56" s="290" t="inlineStr">
        <is>
          <t>CRATerre</t>
        </is>
      </c>
      <c r="Q56" s="317" t="n">
        <v>2006</v>
      </c>
      <c r="R56" s="317" t="n">
        <v>3000</v>
      </c>
      <c r="S56" s="316" t="inlineStr">
        <is>
          <t>FCFA</t>
        </is>
      </c>
      <c r="T56" s="290" t="inlineStr">
        <is>
          <t>Disponible dans tout le Niger</t>
        </is>
      </c>
      <c r="U56" s="290" t="inlineStr">
        <is>
          <t>Technique dominante Niger rural — performance thermique correcte</t>
        </is>
      </c>
    </row>
    <row r="57">
      <c r="A57" s="316" t="inlineStr">
        <is>
          <t>NE03</t>
        </is>
      </c>
      <c r="B57" s="316" t="inlineStr">
        <is>
          <t>Niger</t>
        </is>
      </c>
      <c r="C57" s="316" t="inlineStr">
        <is>
          <t>NE</t>
        </is>
      </c>
      <c r="D57" s="290" t="inlineStr">
        <is>
          <t>Chaume paille de mil 15cm</t>
        </is>
      </c>
      <c r="E57" s="290" t="inlineStr">
        <is>
          <t>Toiture locale</t>
        </is>
      </c>
      <c r="F57" s="317" t="n">
        <v>0.07000000000000001</v>
      </c>
      <c r="G57" s="317" t="n">
        <v>130</v>
      </c>
      <c r="H57" s="317" t="n">
        <v>1500</v>
      </c>
      <c r="I57" s="317" t="n">
        <v>15</v>
      </c>
      <c r="J57" s="318">
        <f>ROUND(F57/(G57*H57)*10000000,2)</f>
        <v/>
      </c>
      <c r="K57" s="318">
        <f>ROUND(SQRT(F57*G57*H57),0)</f>
        <v/>
      </c>
      <c r="L57" s="318">
        <f>ROUND(SQRT(F57*86400/(PI()*G57*H57)),3)</f>
        <v/>
      </c>
      <c r="M57" s="316" t="inlineStr">
        <is>
          <t>N3</t>
        </is>
      </c>
      <c r="N57" s="290" t="inlineStr">
        <is>
          <t>CRATerre 2006 — chaume paille mil 15cm fixe — estimation sahélienne</t>
        </is>
      </c>
      <c r="O57" s="290" t="inlineStr">
        <is>
          <t>CRATerre 2006 — estimation</t>
        </is>
      </c>
      <c r="P57" s="290" t="inlineStr">
        <is>
          <t>CRATerre</t>
        </is>
      </c>
      <c r="Q57" s="317" t="n">
        <v>2006</v>
      </c>
      <c r="R57" s="317" t="n">
        <v>4000</v>
      </c>
      <c r="S57" s="316" t="inlineStr">
        <is>
          <t>FCFA</t>
        </is>
      </c>
      <c r="T57" s="290" t="inlineStr">
        <is>
          <t>Zones rurales Niger</t>
        </is>
      </c>
      <c r="U57" s="290" t="inlineStr">
        <is>
          <t>Utilisation paille de mil — ressource abondante — bon isolant</t>
        </is>
      </c>
    </row>
    <row r="58">
      <c r="A58" s="316" t="inlineStr">
        <is>
          <t>TG01</t>
        </is>
      </c>
      <c r="B58" s="316" t="inlineStr">
        <is>
          <t>Togo</t>
        </is>
      </c>
      <c r="C58" s="316" t="inlineStr">
        <is>
          <t>TG</t>
        </is>
      </c>
      <c r="D58" s="290" t="inlineStr">
        <is>
          <t>Adobe/Banco — analogie Bénin voisin</t>
        </is>
      </c>
      <c r="E58" s="290" t="inlineStr">
        <is>
          <t>Mur porteur</t>
        </is>
      </c>
      <c r="F58" s="317" t="n">
        <v>0.52</v>
      </c>
      <c r="G58" s="317" t="n">
        <v>1600</v>
      </c>
      <c r="H58" s="317" t="n">
        <v>1000</v>
      </c>
      <c r="I58" s="317" t="n">
        <v>20</v>
      </c>
      <c r="J58" s="318">
        <f>ROUND(F58/(G58*H58)*10000000,2)</f>
        <v/>
      </c>
      <c r="K58" s="318">
        <f>ROUND(SQRT(F58*G58*H58),0)</f>
        <v/>
      </c>
      <c r="L58" s="318">
        <f>ROUND(SQRT(F58*86400/(PI()*G58*H58)),3)</f>
        <v/>
      </c>
      <c r="M58" s="316" t="inlineStr">
        <is>
          <t>N2</t>
        </is>
      </c>
      <c r="N58" s="290" t="inlineStr">
        <is>
          <t>ANALOGIE UAC Bénin Laibi 2017 — LACUNE CRITIQUE : 0 pub. DOI pour Togo</t>
        </is>
      </c>
      <c r="O58" s="290" t="inlineStr">
        <is>
          <t>Laibi 2017 UAC — ANALOGIE Togo-Bénin</t>
        </is>
      </c>
      <c r="P58" s="290" t="inlineStr">
        <is>
          <t>UAC Bénin analogie</t>
        </is>
      </c>
      <c r="Q58" s="317" t="n">
        <v>2017</v>
      </c>
      <c r="R58" s="317" t="n">
        <v>5500</v>
      </c>
      <c r="S58" s="316" t="inlineStr">
        <is>
          <t>FCFA</t>
        </is>
      </c>
      <c r="T58" s="290" t="inlineStr">
        <is>
          <t>Zones rurales Togo — Nord et Centre</t>
        </is>
      </c>
      <c r="U58" s="290" t="inlineStr">
        <is>
          <t>LACUNE CRITIQUE : 0 publication DOI Togo — analogie Bénin justifiée géographiquement</t>
        </is>
      </c>
    </row>
    <row r="59">
      <c r="A59" s="316" t="inlineStr">
        <is>
          <t>TG02</t>
        </is>
      </c>
      <c r="B59" s="316" t="inlineStr">
        <is>
          <t>Togo</t>
        </is>
      </c>
      <c r="C59" s="316" t="inlineStr">
        <is>
          <t>TG</t>
        </is>
      </c>
      <c r="D59" s="290" t="inlineStr">
        <is>
          <t>Latérite — analogie Ghana voisin</t>
        </is>
      </c>
      <c r="E59" s="290" t="inlineStr">
        <is>
          <t>Mur porteur</t>
        </is>
      </c>
      <c r="F59" s="317" t="n">
        <v>0.68</v>
      </c>
      <c r="G59" s="317" t="n">
        <v>1850</v>
      </c>
      <c r="H59" s="317" t="n">
        <v>900</v>
      </c>
      <c r="I59" s="317" t="n">
        <v>20</v>
      </c>
      <c r="J59" s="318">
        <f>ROUND(F59/(G59*H59)*10000000,2)</f>
        <v/>
      </c>
      <c r="K59" s="318">
        <f>ROUND(SQRT(F59*G59*H59),0)</f>
        <v/>
      </c>
      <c r="L59" s="318">
        <f>ROUND(SQRT(F59*86400/(PI()*G59*H59)),3)</f>
        <v/>
      </c>
      <c r="M59" s="316" t="inlineStr">
        <is>
          <t>N2</t>
        </is>
      </c>
      <c r="N59" s="290" t="inlineStr">
        <is>
          <t>ANALOGIE BRRI Ghana — LACUNE CRITIQUE : 0 pub. DOI pour Togo</t>
        </is>
      </c>
      <c r="O59" s="290" t="inlineStr">
        <is>
          <t>BRRI Ghana analogie — LACUNE TOGO</t>
        </is>
      </c>
      <c r="P59" s="290" t="inlineStr">
        <is>
          <t>BRRI Ghana analogie</t>
        </is>
      </c>
      <c r="Q59" s="317" t="n">
        <v>2021</v>
      </c>
      <c r="R59" s="317" t="n">
        <v>13000</v>
      </c>
      <c r="S59" s="316" t="inlineStr">
        <is>
          <t>FCFA</t>
        </is>
      </c>
      <c r="T59" s="290" t="inlineStr">
        <is>
          <t>Centre et Nord Togo</t>
        </is>
      </c>
      <c r="U59" s="290" t="inlineStr">
        <is>
          <t>LACUNE CRITIQUE : recommander collaboration CERFER-UAC — à mentionner dans mémoire</t>
        </is>
      </c>
    </row>
    <row r="62">
      <c r="A62" s="319" t="inlineStr">
        <is>
          <t>PRINCIPE DE CALCUL — SimTherm v6</t>
        </is>
      </c>
    </row>
    <row r="63">
      <c r="A63" s="291" t="inlineStr">
        <is>
          <t>PROPRIÉTÉS INTRINSÈQUES (stockées ici, ne dépendent que du matériau) :</t>
        </is>
      </c>
    </row>
    <row r="64" ht="45" customHeight="1" s="81">
      <c r="A64" s="320" t="inlineStr">
        <is>
          <t>• λ [W/m·K] : conductivité thermique  • ρ [kg/m³] : masse volumique  • Cp [J/kg·K] : chaleur massique</t>
        </is>
      </c>
    </row>
    <row r="66">
      <c r="A66" s="291" t="inlineStr">
        <is>
          <t>PROPRIÉTÉS DÉRIVÉES CALCULÉES ICI (intrinsèques, formules ISO 13786) :</t>
        </is>
      </c>
    </row>
    <row r="67" ht="45" customHeight="1" s="81">
      <c r="A67" s="320" t="inlineStr">
        <is>
          <t>• a = λ/(ρ·Cp) : diffusivité thermique — vitesse de diffusion de la chaleur
• b = √(λ·ρ·Cp) : effusivité — capacité à absorber un flux thermique en surface
• δ = √(λ·T/(π·ρ·Cp)) avec T=86400s : profondeur de pénétration diurne — indique l'épaisseur utile pour l'inertie</t>
        </is>
      </c>
    </row>
    <row r="69">
      <c r="A69" s="305" t="inlineStr">
        <is>
          <t>VALEURS OPÉRATIONNELLES CALCULÉES DANS SAISIE / RESULTATS (dépendent de l'épaisseur e saisie par l'utilisateur) :</t>
        </is>
      </c>
    </row>
    <row r="70" ht="45" customHeight="1" s="81">
      <c r="A70" s="320" t="inlineStr">
        <is>
          <t>• Coefficient de transmission thermique U = 1 / (Rsi + e/λ + Rse)  [ISO 6946:2017, W/m²·K]
• Déphasage thermique φ = e × √(ρ·Cp / (π·λ·T)) × T/(2·3600)  [ISO 13786:2017 monocouche, heures]
• Résistances superficielles : Rsi = 0.13 m²K/W (mur intérieur), Rse = 0.04 m²K/W (mur extérieur)</t>
        </is>
      </c>
    </row>
    <row r="72">
      <c r="A72" s="321" t="inlineStr">
        <is>
          <t>NIVEAUX DE FIABILITÉ (colonne M) :</t>
        </is>
      </c>
    </row>
    <row r="73" ht="45" customHeight="1" s="81">
      <c r="A73" s="320" t="inlineStr">
        <is>
          <t>N1 = Mesure expérimentale dans pays de référence avec DOI  |  N2 = Source africaine régionale (analogie documentée)  |  N3 = ISO/ASHRAE normative</t>
        </is>
      </c>
    </row>
  </sheetData>
  <mergeCells count="10">
    <mergeCell ref="A69:U69"/>
    <mergeCell ref="A2:U2"/>
    <mergeCell ref="A72:U72"/>
    <mergeCell ref="A64:U64"/>
    <mergeCell ref="A73:U73"/>
    <mergeCell ref="A63:U63"/>
    <mergeCell ref="A66:U66"/>
    <mergeCell ref="A1:U1"/>
    <mergeCell ref="A70:U70"/>
    <mergeCell ref="A67:U6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81" min="1" max="1"/>
    <col width="28" customWidth="1" style="81" min="2" max="2"/>
    <col width="18" customWidth="1" style="81" min="3" max="3"/>
    <col width="22" customWidth="1" style="81" min="4" max="4"/>
    <col width="14" customWidth="1" style="81" min="5" max="5"/>
    <col width="14" customWidth="1" style="81" min="6" max="6"/>
    <col width="14" customWidth="1" style="81" min="7" max="7"/>
    <col width="10" customWidth="1" style="81" min="8" max="8"/>
    <col width="12" customWidth="1" style="81" min="9" max="9"/>
    <col width="12" customWidth="1" style="81" min="10" max="10"/>
    <col width="14" customWidth="1" style="81" min="11" max="11"/>
    <col width="30" customWidth="1" style="81" min="12" max="12"/>
  </cols>
  <sheetData>
    <row r="1">
      <c r="A1" s="256" t="inlineStr">
        <is>
          <t>BD_BATIMENTS — Paramètres d'usage par type de bâtiment — SimTherm v2 — Afrique tropicale — 11 pays</t>
        </is>
      </c>
      <c r="B1" s="295" t="n"/>
      <c r="C1" s="295" t="n"/>
      <c r="D1" s="295" t="n"/>
      <c r="E1" s="295" t="n"/>
      <c r="F1" s="295" t="n"/>
      <c r="G1" s="295" t="n"/>
      <c r="H1" s="295" t="n"/>
      <c r="I1" s="295" t="n"/>
      <c r="J1" s="295" t="n"/>
      <c r="K1" s="295" t="n"/>
      <c r="L1" s="296" t="n"/>
    </row>
    <row r="2">
      <c r="A2" s="257" t="inlineStr">
        <is>
          <t>Source : ASHRAE Handbook Fundamentals 2021 Ch.18 + EN 15251:2007 + IESVE Occupancy Data + Pratique BTP Bénin</t>
        </is>
      </c>
    </row>
    <row r="4" ht="40" customHeight="1" s="81">
      <c r="A4" s="258" t="inlineStr">
        <is>
          <t>ID</t>
        </is>
      </c>
      <c r="B4" s="258" t="inlineStr">
        <is>
          <t>Type de bâtiment</t>
        </is>
      </c>
      <c r="C4" s="258" t="inlineStr">
        <is>
          <t>Catégorie</t>
        </is>
      </c>
      <c r="D4" s="258" t="inlineStr">
        <is>
          <t>Usage principal</t>
        </is>
      </c>
      <c r="E4" s="258" t="inlineStr">
        <is>
          <t>Apports internes
(W/m²)</t>
        </is>
      </c>
      <c r="F4" s="258" t="inlineStr">
        <is>
          <t>Taux ventilation
Nv (vol/h)</t>
        </is>
      </c>
      <c r="G4" s="258" t="inlineStr">
        <is>
          <t>Ratio fenêtres
(%surface murs)</t>
        </is>
      </c>
      <c r="H4" s="258" t="inlineStr">
        <is>
          <t>Nb portes
(100m²)</t>
        </is>
      </c>
      <c r="I4" s="258" t="inlineStr">
        <is>
          <t>T°confort
min (°C)</t>
        </is>
      </c>
      <c r="J4" s="258" t="inlineStr">
        <is>
          <t>T°confort
max (°C)</t>
        </is>
      </c>
      <c r="K4" s="258" t="inlineStr">
        <is>
          <t>Heures occupation
(h/j)</t>
        </is>
      </c>
      <c r="L4" s="258" t="inlineStr">
        <is>
          <t>Remarques / Afrique</t>
        </is>
      </c>
    </row>
    <row r="5" ht="28" customHeight="1" s="81">
      <c r="A5" s="259" t="inlineStr">
        <is>
          <t>B01</t>
        </is>
      </c>
      <c r="B5" s="260" t="inlineStr">
        <is>
          <t>Maison individuelle</t>
        </is>
      </c>
      <c r="C5" s="261" t="inlineStr">
        <is>
          <t>Résidentiel</t>
        </is>
      </c>
      <c r="D5" s="262" t="inlineStr">
        <is>
          <t>Habitation nuit principale</t>
        </is>
      </c>
      <c r="E5" s="263" t="n">
        <v>4</v>
      </c>
      <c r="F5" s="264" t="n">
        <v>0.5</v>
      </c>
      <c r="G5" s="265" t="n">
        <v>10</v>
      </c>
      <c r="H5" s="265" t="n">
        <v>2</v>
      </c>
      <c r="I5" s="266" t="n">
        <v>24</v>
      </c>
      <c r="J5" s="267" t="n">
        <v>28</v>
      </c>
      <c r="K5" s="265" t="n">
        <v>16</v>
      </c>
      <c r="L5" s="268" t="inlineStr">
        <is>
          <t>Type dominant au Bénin — parpaing ou BTC — 2-4 chambres</t>
        </is>
      </c>
    </row>
    <row r="6" ht="28" customHeight="1" s="81">
      <c r="A6" s="259" t="inlineStr">
        <is>
          <t>B02</t>
        </is>
      </c>
      <c r="B6" s="260" t="inlineStr">
        <is>
          <t>Case ronde traditionnelle</t>
        </is>
      </c>
      <c r="C6" s="261" t="inlineStr">
        <is>
          <t>Résidentiel</t>
        </is>
      </c>
      <c r="D6" s="262" t="inlineStr">
        <is>
          <t>Habitation vernaculaire</t>
        </is>
      </c>
      <c r="E6" s="269" t="n">
        <v>3</v>
      </c>
      <c r="F6" s="270" t="n">
        <v>0.8</v>
      </c>
      <c r="G6" s="271" t="n">
        <v>8</v>
      </c>
      <c r="H6" s="271" t="n">
        <v>1</v>
      </c>
      <c r="I6" s="266" t="n">
        <v>24</v>
      </c>
      <c r="J6" s="267" t="n">
        <v>28</v>
      </c>
      <c r="K6" s="271" t="n">
        <v>20</v>
      </c>
      <c r="L6" s="268" t="inlineStr">
        <is>
          <t>Banco/pisé/chaume — excellent confort passif — zone rurale</t>
        </is>
      </c>
    </row>
    <row r="7" ht="28" customHeight="1" s="81">
      <c r="A7" s="259" t="inlineStr">
        <is>
          <t>B03</t>
        </is>
      </c>
      <c r="B7" s="260" t="inlineStr">
        <is>
          <t>Appartement / Immeuble R+</t>
        </is>
      </c>
      <c r="C7" s="261" t="inlineStr">
        <is>
          <t>Résidentiel collectif</t>
        </is>
      </c>
      <c r="D7" s="262" t="inlineStr">
        <is>
          <t>Habitation multi-niveaux</t>
        </is>
      </c>
      <c r="E7" s="263" t="n">
        <v>5</v>
      </c>
      <c r="F7" s="264" t="n">
        <v>0.5</v>
      </c>
      <c r="G7" s="265" t="n">
        <v>15</v>
      </c>
      <c r="H7" s="265" t="n">
        <v>1</v>
      </c>
      <c r="I7" s="266" t="n">
        <v>24</v>
      </c>
      <c r="J7" s="267" t="n">
        <v>28</v>
      </c>
      <c r="K7" s="265" t="n">
        <v>16</v>
      </c>
      <c r="L7" s="268" t="inlineStr">
        <is>
          <t>Cotonou — Abomey-Calavi — construction parpaing standard</t>
        </is>
      </c>
    </row>
    <row r="8" ht="28" customHeight="1" s="81">
      <c r="A8" s="259" t="inlineStr">
        <is>
          <t>B04</t>
        </is>
      </c>
      <c r="B8" s="260" t="inlineStr">
        <is>
          <t>Villa / Résidence standing</t>
        </is>
      </c>
      <c r="C8" s="261" t="inlineStr">
        <is>
          <t>Résidentiel haut de gamme</t>
        </is>
      </c>
      <c r="D8" s="262" t="inlineStr">
        <is>
          <t>Habitation climatisée</t>
        </is>
      </c>
      <c r="E8" s="269" t="n">
        <v>8</v>
      </c>
      <c r="F8" s="270" t="n">
        <v>0.3</v>
      </c>
      <c r="G8" s="271" t="n">
        <v>20</v>
      </c>
      <c r="H8" s="271" t="n">
        <v>3</v>
      </c>
      <c r="I8" s="266" t="n">
        <v>23</v>
      </c>
      <c r="J8" s="267" t="n">
        <v>27</v>
      </c>
      <c r="K8" s="271" t="n">
        <v>16</v>
      </c>
      <c r="L8" s="268" t="inlineStr">
        <is>
          <t>Souvent climatisée — important pour calcul avec HVAC</t>
        </is>
      </c>
    </row>
    <row r="9" ht="28" customHeight="1" s="81">
      <c r="A9" s="259" t="inlineStr">
        <is>
          <t>B05</t>
        </is>
      </c>
      <c r="B9" s="260" t="inlineStr">
        <is>
          <t>Duplex / Maison en L</t>
        </is>
      </c>
      <c r="C9" s="261" t="inlineStr">
        <is>
          <t>Résidentiel</t>
        </is>
      </c>
      <c r="D9" s="262" t="inlineStr">
        <is>
          <t>Habitation familiale étendue</t>
        </is>
      </c>
      <c r="E9" s="263" t="n">
        <v>5</v>
      </c>
      <c r="F9" s="264" t="n">
        <v>0.5</v>
      </c>
      <c r="G9" s="265" t="n">
        <v>12</v>
      </c>
      <c r="H9" s="265" t="n">
        <v>3</v>
      </c>
      <c r="I9" s="266" t="n">
        <v>24</v>
      </c>
      <c r="J9" s="267" t="n">
        <v>28</v>
      </c>
      <c r="K9" s="265" t="n">
        <v>16</v>
      </c>
      <c r="L9" s="268" t="inlineStr">
        <is>
          <t>Configuration fréquente familles élargies Bénin</t>
        </is>
      </c>
    </row>
    <row r="10" ht="28" customHeight="1" s="81">
      <c r="A10" s="272" t="inlineStr">
        <is>
          <t>B06</t>
        </is>
      </c>
      <c r="B10" s="273" t="inlineStr">
        <is>
          <t>Salle de classe / École</t>
        </is>
      </c>
      <c r="C10" s="274" t="inlineStr">
        <is>
          <t>Institutionnel</t>
        </is>
      </c>
      <c r="D10" s="262" t="inlineStr">
        <is>
          <t>Enseignement diurne</t>
        </is>
      </c>
      <c r="E10" s="269" t="n">
        <v>15</v>
      </c>
      <c r="F10" s="270" t="n">
        <v>1.5</v>
      </c>
      <c r="G10" s="271" t="n">
        <v>25</v>
      </c>
      <c r="H10" s="271" t="n">
        <v>2</v>
      </c>
      <c r="I10" s="266" t="n">
        <v>24</v>
      </c>
      <c r="J10" s="267" t="n">
        <v>29</v>
      </c>
      <c r="K10" s="271" t="n">
        <v>8</v>
      </c>
      <c r="L10" s="268" t="inlineStr">
        <is>
          <t>Forte densité — 30-40 élèves/salle — pic thermique 10h-14h</t>
        </is>
      </c>
    </row>
    <row r="11" ht="28" customHeight="1" s="81">
      <c r="A11" s="272" t="inlineStr">
        <is>
          <t>B07</t>
        </is>
      </c>
      <c r="B11" s="273" t="inlineStr">
        <is>
          <t>Amphithéâtre / Salle conférence</t>
        </is>
      </c>
      <c r="C11" s="274" t="inlineStr">
        <is>
          <t>Institutionnel</t>
        </is>
      </c>
      <c r="D11" s="262" t="inlineStr">
        <is>
          <t>Rassemblement ponctuel</t>
        </is>
      </c>
      <c r="E11" s="263" t="n">
        <v>20</v>
      </c>
      <c r="F11" s="264" t="n">
        <v>2</v>
      </c>
      <c r="G11" s="265" t="n">
        <v>15</v>
      </c>
      <c r="H11" s="265" t="n">
        <v>4</v>
      </c>
      <c r="I11" s="266" t="n">
        <v>24</v>
      </c>
      <c r="J11" s="267" t="n">
        <v>28</v>
      </c>
      <c r="K11" s="265" t="n">
        <v>4</v>
      </c>
      <c r="L11" s="268" t="inlineStr">
        <is>
          <t>Usage ponctuel — important pour dimensionnement ventilation</t>
        </is>
      </c>
    </row>
    <row r="12" ht="28" customHeight="1" s="81">
      <c r="A12" s="272" t="inlineStr">
        <is>
          <t>B08</t>
        </is>
      </c>
      <c r="B12" s="273" t="inlineStr">
        <is>
          <t>Bibliothèque / Salle d'étude</t>
        </is>
      </c>
      <c r="C12" s="274" t="inlineStr">
        <is>
          <t>Institutionnel</t>
        </is>
      </c>
      <c r="D12" s="262" t="inlineStr">
        <is>
          <t>Travail calme diurne</t>
        </is>
      </c>
      <c r="E12" s="269" t="n">
        <v>8</v>
      </c>
      <c r="F12" s="270" t="n">
        <v>0.8</v>
      </c>
      <c r="G12" s="271" t="n">
        <v>20</v>
      </c>
      <c r="H12" s="271" t="n">
        <v>2</v>
      </c>
      <c r="I12" s="266" t="n">
        <v>23</v>
      </c>
      <c r="J12" s="267" t="n">
        <v>27</v>
      </c>
      <c r="K12" s="271" t="n">
        <v>10</v>
      </c>
      <c r="L12" s="268" t="inlineStr">
        <is>
          <t>Confort strict requis — concentration étudiants</t>
        </is>
      </c>
    </row>
    <row r="13" ht="28" customHeight="1" s="81">
      <c r="A13" s="272" t="inlineStr">
        <is>
          <t>B09</t>
        </is>
      </c>
      <c r="B13" s="273" t="inlineStr">
        <is>
          <t>Administration / Bureau public</t>
        </is>
      </c>
      <c r="C13" s="274" t="inlineStr">
        <is>
          <t>Institutionnel</t>
        </is>
      </c>
      <c r="D13" s="262" t="inlineStr">
        <is>
          <t>Bureau diurne</t>
        </is>
      </c>
      <c r="E13" s="263" t="n">
        <v>10</v>
      </c>
      <c r="F13" s="264" t="n">
        <v>1</v>
      </c>
      <c r="G13" s="265" t="n">
        <v>25</v>
      </c>
      <c r="H13" s="265" t="n">
        <v>2</v>
      </c>
      <c r="I13" s="266" t="n">
        <v>23</v>
      </c>
      <c r="J13" s="267" t="n">
        <v>27</v>
      </c>
      <c r="K13" s="265" t="n">
        <v>9</v>
      </c>
      <c r="L13" s="268" t="inlineStr">
        <is>
          <t>Mairies, préfectures, ministères — Cotonou surtout</t>
        </is>
      </c>
    </row>
    <row r="14" ht="28" customHeight="1" s="81">
      <c r="A14" s="272" t="inlineStr">
        <is>
          <t>B10</t>
        </is>
      </c>
      <c r="B14" s="273" t="inlineStr">
        <is>
          <t>Centre de santé / Dispensaire</t>
        </is>
      </c>
      <c r="C14" s="274" t="inlineStr">
        <is>
          <t>Institutionnel</t>
        </is>
      </c>
      <c r="D14" s="262" t="inlineStr">
        <is>
          <t>Soins 24h</t>
        </is>
      </c>
      <c r="E14" s="269" t="n">
        <v>12</v>
      </c>
      <c r="F14" s="270" t="n">
        <v>1.2</v>
      </c>
      <c r="G14" s="271" t="n">
        <v>20</v>
      </c>
      <c r="H14" s="271" t="n">
        <v>3</v>
      </c>
      <c r="I14" s="266" t="n">
        <v>23</v>
      </c>
      <c r="J14" s="267" t="n">
        <v>27</v>
      </c>
      <c r="K14" s="271" t="n">
        <v>24</v>
      </c>
      <c r="L14" s="268" t="inlineStr">
        <is>
          <t>Fonctionnement continu — hygiène requiert ventilation accrue</t>
        </is>
      </c>
    </row>
    <row r="15" ht="28" customHeight="1" s="81">
      <c r="A15" s="272" t="inlineStr">
        <is>
          <t>B11</t>
        </is>
      </c>
      <c r="B15" s="273" t="inlineStr">
        <is>
          <t>Hôpital / Clinique</t>
        </is>
      </c>
      <c r="C15" s="274" t="inlineStr">
        <is>
          <t>Institutionnel santé</t>
        </is>
      </c>
      <c r="D15" s="262" t="inlineStr">
        <is>
          <t>Soins intensifs</t>
        </is>
      </c>
      <c r="E15" s="263" t="n">
        <v>15</v>
      </c>
      <c r="F15" s="264" t="n">
        <v>1.5</v>
      </c>
      <c r="G15" s="265" t="n">
        <v>20</v>
      </c>
      <c r="H15" s="265" t="n">
        <v>4</v>
      </c>
      <c r="I15" s="266" t="n">
        <v>22</v>
      </c>
      <c r="J15" s="267" t="n">
        <v>26</v>
      </c>
      <c r="K15" s="265" t="n">
        <v>24</v>
      </c>
      <c r="L15" s="268" t="inlineStr">
        <is>
          <t>Exigences thermiques strictes — confort patients critique</t>
        </is>
      </c>
    </row>
    <row r="16" ht="28" customHeight="1" s="81">
      <c r="A16" s="275" t="inlineStr">
        <is>
          <t>B12</t>
        </is>
      </c>
      <c r="B16" s="276" t="inlineStr">
        <is>
          <t>Boutique / Commerce de détail</t>
        </is>
      </c>
      <c r="C16" s="277" t="inlineStr">
        <is>
          <t>Commercial</t>
        </is>
      </c>
      <c r="D16" s="262" t="inlineStr">
        <is>
          <t>Vente diurne</t>
        </is>
      </c>
      <c r="E16" s="269" t="n">
        <v>20</v>
      </c>
      <c r="F16" s="270" t="n">
        <v>1</v>
      </c>
      <c r="G16" s="271" t="n">
        <v>30</v>
      </c>
      <c r="H16" s="271" t="n">
        <v>3</v>
      </c>
      <c r="I16" s="266" t="n">
        <v>24</v>
      </c>
      <c r="J16" s="267" t="n">
        <v>28</v>
      </c>
      <c r="K16" s="271" t="n">
        <v>10</v>
      </c>
      <c r="L16" s="268" t="inlineStr">
        <is>
          <t>Ouverture sur rue fréquente — ventilation naturelle possible</t>
        </is>
      </c>
    </row>
    <row r="17" ht="28" customHeight="1" s="81">
      <c r="A17" s="275" t="inlineStr">
        <is>
          <t>B13</t>
        </is>
      </c>
      <c r="B17" s="276" t="inlineStr">
        <is>
          <t>Marché couvert / Hangar commercial</t>
        </is>
      </c>
      <c r="C17" s="277" t="inlineStr">
        <is>
          <t>Commercial intensif</t>
        </is>
      </c>
      <c r="D17" s="262" t="inlineStr">
        <is>
          <t>Marché journalier</t>
        </is>
      </c>
      <c r="E17" s="263" t="n">
        <v>25</v>
      </c>
      <c r="F17" s="264" t="n">
        <v>2</v>
      </c>
      <c r="G17" s="265" t="n">
        <v>50</v>
      </c>
      <c r="H17" s="265" t="n">
        <v>8</v>
      </c>
      <c r="I17" s="266" t="n">
        <v>25</v>
      </c>
      <c r="J17" s="267" t="n">
        <v>30</v>
      </c>
      <c r="K17" s="265" t="n">
        <v>12</v>
      </c>
      <c r="L17" s="268" t="inlineStr">
        <is>
          <t>Densité très élevée — toiture critique — chaleur intense</t>
        </is>
      </c>
    </row>
    <row r="18" ht="28" customHeight="1" s="81">
      <c r="A18" s="275" t="inlineStr">
        <is>
          <t>B14</t>
        </is>
      </c>
      <c r="B18" s="276" t="inlineStr">
        <is>
          <t>Supermarché / Magasin grande surface</t>
        </is>
      </c>
      <c r="C18" s="277" t="inlineStr">
        <is>
          <t>Commercial</t>
        </is>
      </c>
      <c r="D18" s="262" t="inlineStr">
        <is>
          <t>Vente éclairée</t>
        </is>
      </c>
      <c r="E18" s="269" t="n">
        <v>30</v>
      </c>
      <c r="F18" s="270" t="n">
        <v>1</v>
      </c>
      <c r="G18" s="271" t="n">
        <v>20</v>
      </c>
      <c r="H18" s="271" t="n">
        <v>6</v>
      </c>
      <c r="I18" s="266" t="n">
        <v>22</v>
      </c>
      <c r="J18" s="267" t="n">
        <v>26</v>
      </c>
      <c r="K18" s="271" t="n">
        <v>12</v>
      </c>
      <c r="L18" s="268" t="inlineStr">
        <is>
          <t>Souvent climatisé — forte charge équipements</t>
        </is>
      </c>
    </row>
    <row r="19" ht="28" customHeight="1" s="81">
      <c r="A19" s="275" t="inlineStr">
        <is>
          <t>B15</t>
        </is>
      </c>
      <c r="B19" s="276" t="inlineStr">
        <is>
          <t>Restaurant / Maquis</t>
        </is>
      </c>
      <c r="C19" s="277" t="inlineStr">
        <is>
          <t>Commercial</t>
        </is>
      </c>
      <c r="D19" s="262" t="inlineStr">
        <is>
          <t>Restauration</t>
        </is>
      </c>
      <c r="E19" s="263" t="n">
        <v>25</v>
      </c>
      <c r="F19" s="264" t="n">
        <v>1.5</v>
      </c>
      <c r="G19" s="265" t="n">
        <v>20</v>
      </c>
      <c r="H19" s="265" t="n">
        <v>4</v>
      </c>
      <c r="I19" s="266" t="n">
        <v>24</v>
      </c>
      <c r="J19" s="267" t="n">
        <v>28</v>
      </c>
      <c r="K19" s="265" t="n">
        <v>12</v>
      </c>
      <c r="L19" s="268" t="inlineStr">
        <is>
          <t>Apports cuisine très élevés — ventilation critique</t>
        </is>
      </c>
    </row>
    <row r="20" ht="28" customHeight="1" s="81">
      <c r="A20" s="275" t="inlineStr">
        <is>
          <t>B16</t>
        </is>
      </c>
      <c r="B20" s="276" t="inlineStr">
        <is>
          <t>Hôtel / Résidence</t>
        </is>
      </c>
      <c r="C20" s="277" t="inlineStr">
        <is>
          <t>Commercial hébergement</t>
        </is>
      </c>
      <c r="D20" s="262" t="inlineStr">
        <is>
          <t>Hébergement mixte</t>
        </is>
      </c>
      <c r="E20" s="269" t="n">
        <v>10</v>
      </c>
      <c r="F20" s="270" t="n">
        <v>0.5</v>
      </c>
      <c r="G20" s="271" t="n">
        <v>20</v>
      </c>
      <c r="H20" s="271" t="n">
        <v>2</v>
      </c>
      <c r="I20" s="266" t="n">
        <v>22</v>
      </c>
      <c r="J20" s="267" t="n">
        <v>26</v>
      </c>
      <c r="K20" s="271" t="n">
        <v>24</v>
      </c>
      <c r="L20" s="268" t="inlineStr">
        <is>
          <t>Fonctionnement 24h — confort touristes/hommes affaires</t>
        </is>
      </c>
    </row>
    <row r="21" ht="28" customHeight="1" s="81">
      <c r="A21" s="278" t="inlineStr">
        <is>
          <t>B17</t>
        </is>
      </c>
      <c r="B21" s="279" t="inlineStr">
        <is>
          <t>Atelier artisanal</t>
        </is>
      </c>
      <c r="C21" s="280" t="inlineStr">
        <is>
          <t>Industriel léger</t>
        </is>
      </c>
      <c r="D21" s="262" t="inlineStr">
        <is>
          <t>Fabrication manuelle</t>
        </is>
      </c>
      <c r="E21" s="263" t="n">
        <v>8</v>
      </c>
      <c r="F21" s="264" t="n">
        <v>1</v>
      </c>
      <c r="G21" s="265" t="n">
        <v>10</v>
      </c>
      <c r="H21" s="265" t="n">
        <v>3</v>
      </c>
      <c r="I21" s="266" t="n">
        <v>24</v>
      </c>
      <c r="J21" s="267" t="n">
        <v>30</v>
      </c>
      <c r="K21" s="265" t="n">
        <v>10</v>
      </c>
      <c r="L21" s="268" t="inlineStr">
        <is>
          <t>Menuiserie, forge, poterie — apports activité physique</t>
        </is>
      </c>
    </row>
    <row r="22" ht="28" customHeight="1" s="81">
      <c r="A22" s="278" t="inlineStr">
        <is>
          <t>B18</t>
        </is>
      </c>
      <c r="B22" s="279" t="inlineStr">
        <is>
          <t>Entrepôt / Magasin de stockage</t>
        </is>
      </c>
      <c r="C22" s="280" t="inlineStr">
        <is>
          <t>Industriel léger</t>
        </is>
      </c>
      <c r="D22" s="262" t="inlineStr">
        <is>
          <t>Stockage marchandises</t>
        </is>
      </c>
      <c r="E22" s="269" t="n">
        <v>3</v>
      </c>
      <c r="F22" s="270" t="n">
        <v>0.3</v>
      </c>
      <c r="G22" s="271" t="n">
        <v>5</v>
      </c>
      <c r="H22" s="271" t="n">
        <v>4</v>
      </c>
      <c r="I22" s="266" t="n">
        <v>20</v>
      </c>
      <c r="J22" s="267" t="n">
        <v>35</v>
      </c>
      <c r="K22" s="271" t="n">
        <v>8</v>
      </c>
      <c r="L22" s="268" t="inlineStr">
        <is>
          <t>Température confort moins critique — ventilation anti-humidité</t>
        </is>
      </c>
    </row>
    <row r="23" ht="28" customHeight="1" s="81">
      <c r="A23" s="278" t="inlineStr">
        <is>
          <t>B19</t>
        </is>
      </c>
      <c r="B23" s="279" t="inlineStr">
        <is>
          <t>Atelier mécanique / Garage</t>
        </is>
      </c>
      <c r="C23" s="280" t="inlineStr">
        <is>
          <t>Industriel léger</t>
        </is>
      </c>
      <c r="D23" s="262" t="inlineStr">
        <is>
          <t>Réparation véhicules</t>
        </is>
      </c>
      <c r="E23" s="263" t="n">
        <v>10</v>
      </c>
      <c r="F23" s="264" t="n">
        <v>1.5</v>
      </c>
      <c r="G23" s="265" t="n">
        <v>10</v>
      </c>
      <c r="H23" s="265" t="n">
        <v>4</v>
      </c>
      <c r="I23" s="266" t="n">
        <v>24</v>
      </c>
      <c r="J23" s="267" t="n">
        <v>32</v>
      </c>
      <c r="K23" s="265" t="n">
        <v>10</v>
      </c>
      <c r="L23" s="268" t="inlineStr">
        <is>
          <t>Apports moteurs + activité physique intense</t>
        </is>
      </c>
    </row>
    <row r="24" ht="28" customHeight="1" s="81">
      <c r="A24" s="281" t="inlineStr">
        <is>
          <t>B20</t>
        </is>
      </c>
      <c r="B24" s="282" t="inlineStr">
        <is>
          <t>Mosquée / Église</t>
        </is>
      </c>
      <c r="C24" s="283" t="inlineStr">
        <is>
          <t>Cultuel</t>
        </is>
      </c>
      <c r="D24" s="262" t="inlineStr">
        <is>
          <t>Rassemblement ponctuel</t>
        </is>
      </c>
      <c r="E24" s="269" t="n">
        <v>8</v>
      </c>
      <c r="F24" s="270" t="n">
        <v>1</v>
      </c>
      <c r="G24" s="271" t="n">
        <v>15</v>
      </c>
      <c r="H24" s="271" t="n">
        <v>4</v>
      </c>
      <c r="I24" s="266" t="n">
        <v>24</v>
      </c>
      <c r="J24" s="267" t="n">
        <v>29</v>
      </c>
      <c r="K24" s="271" t="n">
        <v>3</v>
      </c>
      <c r="L24" s="268" t="inlineStr">
        <is>
          <t>Très forte densité en pic — courte durée — ventilation naturelle+++</t>
        </is>
      </c>
    </row>
    <row r="25" ht="28" customHeight="1" s="81">
      <c r="A25" s="281" t="inlineStr">
        <is>
          <t>B21</t>
        </is>
      </c>
      <c r="B25" s="282" t="inlineStr">
        <is>
          <t>Salle communautaire / Foyer</t>
        </is>
      </c>
      <c r="C25" s="283" t="inlineStr">
        <is>
          <t>Communautaire</t>
        </is>
      </c>
      <c r="D25" s="262" t="inlineStr">
        <is>
          <t>Réunion polyvalente</t>
        </is>
      </c>
      <c r="E25" s="263" t="n">
        <v>15</v>
      </c>
      <c r="F25" s="264" t="n">
        <v>1.5</v>
      </c>
      <c r="G25" s="265" t="n">
        <v>20</v>
      </c>
      <c r="H25" s="265" t="n">
        <v>4</v>
      </c>
      <c r="I25" s="266" t="n">
        <v>24</v>
      </c>
      <c r="J25" s="267" t="n">
        <v>29</v>
      </c>
      <c r="K25" s="265" t="n">
        <v>4</v>
      </c>
      <c r="L25" s="268" t="inlineStr">
        <is>
          <t>Usage varié — assemblées villageoises, formations</t>
        </is>
      </c>
    </row>
    <row r="26" ht="28" customHeight="1" s="81">
      <c r="A26" s="272" t="inlineStr">
        <is>
          <t>B22</t>
        </is>
      </c>
      <c r="B26" s="273" t="inlineStr">
        <is>
          <t>Mairie / Centre administratif rural</t>
        </is>
      </c>
      <c r="C26" s="274" t="inlineStr">
        <is>
          <t>Institutionnel rural</t>
        </is>
      </c>
      <c r="D26" s="262" t="inlineStr">
        <is>
          <t>Service public</t>
        </is>
      </c>
      <c r="E26" s="269" t="n">
        <v>8</v>
      </c>
      <c r="F26" s="270" t="n">
        <v>0.8</v>
      </c>
      <c r="G26" s="271" t="n">
        <v>20</v>
      </c>
      <c r="H26" s="271" t="n">
        <v>3</v>
      </c>
      <c r="I26" s="266" t="n">
        <v>24</v>
      </c>
      <c r="J26" s="267" t="n">
        <v>28</v>
      </c>
      <c r="K26" s="271" t="n">
        <v>8</v>
      </c>
      <c r="L26" s="268" t="inlineStr">
        <is>
          <t>77 communes Bénin — bâtiment BTP local prioritaire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S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8" customWidth="1" style="80" min="1" max="1"/>
    <col width="22" customWidth="1" style="80" min="2" max="2"/>
    <col width="80" customWidth="1" style="80" min="3" max="3"/>
  </cols>
  <sheetData>
    <row r="1" ht="30" customHeight="1" s="81">
      <c r="A1" s="82" t="inlineStr">
        <is>
          <t>SIMTHERM v2 — Guide de constitution des bases de données</t>
        </is>
      </c>
    </row>
    <row r="2" ht="19.5" customHeight="1" s="81">
      <c r="A2" s="83" t="inlineStr">
        <is>
          <t>Calendrier, sources, méthodes de calcul et contrôle qualité — 6 phases — 10 semaines</t>
        </is>
      </c>
    </row>
    <row r="4" ht="7.5" customHeight="1" s="81"/>
    <row r="5" ht="21.75" customHeight="1" s="81">
      <c r="A5" s="159" t="inlineStr">
        <is>
          <t>PHASE 0 — PRÉPARATION (avant collecte)</t>
        </is>
      </c>
      <c r="B5" s="103" t="n"/>
      <c r="C5" s="103" t="n"/>
    </row>
    <row r="6" ht="30" customHeight="1" s="81">
      <c r="A6" s="160" t="inlineStr">
        <is>
          <t>Structure cible BD_MATERIAUX</t>
        </is>
      </c>
      <c r="B6" s="161" t="inlineStr">
        <is>
          <t>Colonnes obligatoires</t>
        </is>
      </c>
      <c r="C6" s="162" t="inlineStr">
        <is>
          <t>ID | Pays | Code | Matériau | Catégorie | λ | ρ | Cp | Ép.ref | U_15cm | U_20cm | U_25cm | φ_15cm | φ_20cm | φ_25cm | Niveau | Source | DOI | Institution | Année | Coût | Monnaie | Disponibilité | Remarques</t>
        </is>
      </c>
    </row>
    <row r="7" ht="30" customHeight="1" s="81">
      <c r="A7" s="160" t="inlineStr">
        <is>
          <t>Structure cible BD_CLIMAT</t>
        </is>
      </c>
      <c r="B7" s="161" t="inlineStr">
        <is>
          <t>Colonnes obligatoires</t>
        </is>
      </c>
      <c r="C7" s="162" t="inlineStr">
        <is>
          <t>Pays | Ville | Zone Köppen | Tmin | Tmax | Tmoy | HR% | GHI | Amplitude | Précip | T°neutralité | Source | Année | Remarques</t>
        </is>
      </c>
    </row>
    <row r="8" ht="30" customHeight="1" s="81">
      <c r="A8" s="160" t="inlineStr">
        <is>
          <t>Structure cible BD_PAYS</t>
        </is>
      </c>
      <c r="B8" s="161" t="inlineStr">
        <is>
          <t>Colonnes obligatoires</t>
        </is>
      </c>
      <c r="C8" s="162" t="inlineStr">
        <is>
          <t>Pays | Code | Monnaie | Symbole | Taux/FCFA | T°neutralité | T°confort_min | T°confort_max | Méthode | Fiabilité | Source | DOI | Institution | Année | Lacunes | Remarques</t>
        </is>
      </c>
    </row>
    <row r="9" ht="7.5" customHeight="1" s="81"/>
    <row r="10" ht="21.75" customHeight="1" s="81">
      <c r="A10" s="159" t="inlineStr">
        <is>
          <t>PHASE 1 — BD_PAYS (1 journée)</t>
        </is>
      </c>
      <c r="B10" s="103" t="n"/>
      <c r="C10" s="103" t="n"/>
    </row>
    <row r="11" ht="30" customHeight="1" s="81">
      <c r="A11" s="160" t="inlineStr">
        <is>
          <t>Données mesurées terrain</t>
        </is>
      </c>
      <c r="B11" s="161" t="inlineStr">
        <is>
          <t>À saisir directement</t>
        </is>
      </c>
      <c r="C11" s="162" t="inlineStr">
        <is>
          <t>Bénin 26.1°C (Kiki 2020) | Cameroun 26.5°C (Nematchoua 2014) | Ghana 27°C (Agyeman 2020) | Nigeria 27°C (Adegun 2017)</t>
        </is>
      </c>
    </row>
    <row r="12" ht="30" customHeight="1" s="81">
      <c r="A12" s="160" t="inlineStr">
        <is>
          <t>Données estimées Humphreys</t>
        </is>
      </c>
      <c r="B12" s="161" t="inlineStr">
        <is>
          <t>Formule à appliquer</t>
        </is>
      </c>
      <c r="C12" s="162" t="inlineStr">
        <is>
          <t>Tn = 17.6 + 0.31 × Tmoy_annuelle_ext  —  Burkina: 26.6°C | Sénégal: 25.4°C | Kenya: 23.2°C | Mali: 26.9°C | CIV: 25.9°C | Niger: 26.9°C | Togo: 25.9°C</t>
        </is>
      </c>
    </row>
    <row r="13" ht="30" customHeight="1" s="81">
      <c r="A13" s="160" t="inlineStr">
        <is>
          <t>Monnaies 2025</t>
        </is>
      </c>
      <c r="B13" s="161" t="inlineStr">
        <is>
          <t>Taux approximatifs</t>
        </is>
      </c>
      <c r="C13" s="162" t="inlineStr">
        <is>
          <t>FCFA zones UEMOA = 1 | NGN Nigeria: 1 FCFA ≈ 0.55 NGN | GHS Ghana: 1 FCFA ≈ 0.009 GHS | KSH Kenya: 1 FCFA ≈ 0.19 KSH — Vérifier avant publication</t>
        </is>
      </c>
    </row>
    <row r="14" ht="7.5" customHeight="1" s="81"/>
    <row r="15" ht="21.75" customHeight="1" s="81">
      <c r="A15" s="159" t="inlineStr">
        <is>
          <t>PHASE 2 — BD_CLIMAT (3-5 jours)</t>
        </is>
      </c>
      <c r="B15" s="103" t="n"/>
      <c r="C15" s="103" t="n"/>
    </row>
    <row r="16" ht="30" customHeight="1" s="81">
      <c r="A16" s="160" t="inlineStr">
        <is>
          <t>Source principale</t>
        </is>
      </c>
      <c r="B16" s="161" t="inlineStr">
        <is>
          <t>climate-data.org</t>
        </is>
      </c>
      <c r="C16" s="162" t="inlineStr">
        <is>
          <t>Gratuit — couverture mondiale — données par ville — relever Tmin/Tmax/Tmoy/HR/Précipitations</t>
        </is>
      </c>
    </row>
    <row r="17" ht="30" customHeight="1" s="81">
      <c r="A17" s="160" t="inlineStr">
        <is>
          <t>Source GHI</t>
        </is>
      </c>
      <c r="B17" s="161" t="inlineStr">
        <is>
          <t>IRENA GlobalAtlas</t>
        </is>
      </c>
      <c r="C17" s="162" t="inlineStr">
        <is>
          <t>https://globalatlas.irena.org — couche GHI — cliquer sur la ville — lire kWh/m²/jour</t>
        </is>
      </c>
    </row>
    <row r="18" ht="30" customHeight="1" s="81">
      <c r="A18" s="160" t="inlineStr">
        <is>
          <t>Source validation</t>
        </is>
      </c>
      <c r="B18" s="161" t="inlineStr">
        <is>
          <t>ERA5 Copernicus</t>
        </is>
      </c>
      <c r="C18" s="162" t="inlineStr">
        <is>
          <t>https://cds.climate.copernicus.eu — données réanalysées — plus précis mais technique</t>
        </is>
      </c>
    </row>
    <row r="19" ht="30" customHeight="1" s="81">
      <c r="A19" s="160" t="inlineStr">
        <is>
          <t>Détermination zone Köppen</t>
        </is>
      </c>
      <c r="B19" s="161" t="inlineStr">
        <is>
          <t>Règle des précipitations</t>
        </is>
      </c>
      <c r="C19" s="162" t="inlineStr">
        <is>
          <t>Précip &gt; 1500mm sans mois sec → Af | &gt; 750mm 1-3 mois secs → Am | 500-750mm 3-6 mois secs → Aw | 250-500mm &gt; 6 mois secs → BSh | &lt; 250mm → BWh</t>
        </is>
      </c>
    </row>
    <row r="20" ht="30" customHeight="1" s="81">
      <c r="A20" s="160" t="inlineStr">
        <is>
          <t>Calcul amplitude thermique</t>
        </is>
      </c>
      <c r="B20" s="161" t="inlineStr">
        <is>
          <t>Formule simple</t>
        </is>
      </c>
      <c r="C20" s="162" t="inlineStr">
        <is>
          <t>Amplitude = Tmax_mois_le_plus_chaud - Tmin_mois_le_plus_froid</t>
        </is>
      </c>
    </row>
    <row r="21" ht="30" customHeight="1" s="81">
      <c r="A21" s="160" t="inlineStr">
        <is>
          <t>Bénin</t>
        </is>
      </c>
      <c r="B21" s="161" t="inlineStr">
        <is>
          <t>78 communes disponibles</t>
        </is>
      </c>
      <c r="C21" s="162" t="inlineStr">
        <is>
          <t>COPIER depuis SimTherm v1 — Rien à collecter — Données déjà validées UAC/DMN</t>
        </is>
      </c>
    </row>
    <row r="22" ht="7.5" customHeight="1" s="81"/>
    <row r="23" ht="21.75" customHeight="1" s="81">
      <c r="A23" s="159" t="inlineStr">
        <is>
          <t>PHASE 3 — BD_MATERIAUX (7-10 jours)</t>
        </is>
      </c>
      <c r="B23" s="103" t="n"/>
      <c r="C23" s="103" t="n"/>
    </row>
    <row r="24" ht="30" customHeight="1" s="81">
      <c r="A24" s="160" t="inlineStr">
        <is>
          <t>Institutions de référence</t>
        </is>
      </c>
      <c r="B24" s="161" t="inlineStr">
        <is>
          <t>Par pays</t>
        </is>
      </c>
      <c r="C24" s="162" t="inlineStr">
        <is>
          <t>BJ: UAC/EPAC | BF: 2iE Ouagadougou | NG: NBRRI Lagos | CM: MIPROMALO + U.Yaoundé I | GH: BRRI Kumasi | SN: LEPT-UCAD | KE: NCA Kenya | ML: U.Bamako | CI: LBTP Abidjan | NE: U.Maradi | TG: CERFER Lomé</t>
        </is>
      </c>
    </row>
    <row r="25" ht="30" customHeight="1" s="81">
      <c r="A25" s="160" t="inlineStr">
        <is>
          <t>Sources bibliographiques prioritaires</t>
        </is>
      </c>
      <c r="B25" s="161" t="inlineStr">
        <is>
          <t>Accès Google Scholar</t>
        </is>
      </c>
      <c r="C25" s="162" t="inlineStr">
        <is>
          <t>Laibi 2018 (BJ) | Hema 2021 (BF) | Maimagani 2022 (NG) | Meukam 2004 (CM) | Aggrey-Smith 2016 (GH) | Bal 2013 + Diop 2021 (SN) | NCA 2023 (KE) | Diallo 2025 (ML)</t>
        </is>
      </c>
    </row>
    <row r="26" ht="30" customHeight="1" s="81">
      <c r="A26" s="160" t="inlineStr">
        <is>
          <t>Lacunes critiques</t>
        </is>
      </c>
      <c r="B26" s="161" t="inlineStr">
        <is>
          <t>Stratégie analogie</t>
        </is>
      </c>
      <c r="C26" s="162" t="inlineStr">
        <is>
          <t>CIV: analogie Ghana + Cameroun | Togo: analogie Bénin | Niger banco: CRATerre 2006 — Mentionner lacune dans mémoire</t>
        </is>
      </c>
    </row>
    <row r="27" ht="7.5" customHeight="1" s="81"/>
    <row r="28" ht="21.75" customHeight="1" s="81">
      <c r="A28" s="159" t="inlineStr">
        <is>
          <t>PHASE 4 — MATÉRIAUX DE RÉFÉRENCE (0.5 jour)</t>
        </is>
      </c>
      <c r="B28" s="103" t="n"/>
      <c r="C28" s="103" t="n"/>
    </row>
    <row r="29" ht="30" customHeight="1" s="81">
      <c r="A29" s="160" t="inlineStr">
        <is>
          <t>Matériaux REF — ISO 10456:2007</t>
        </is>
      </c>
      <c r="B29" s="161" t="inlineStr">
        <is>
          <t>Communs tous pays</t>
        </is>
      </c>
      <c r="C29" s="162" t="inlineStr">
        <is>
          <t>Parpaing creux 20cm (U=3.05) | Parpaing plein 15cm | Dalle béton 12cm (U=3.79) | Tôle galv. (U=~7.5) | Tôle+faux-plafond (~U=1.4) | Chaume 15cm (U=0.44) | Chaume 30cm (U=0.23) | Brique terre cuite (U=1.80) | Bois Iroko (U=0.67)</t>
        </is>
      </c>
    </row>
    <row r="30" ht="7.5" customHeight="1" s="81"/>
    <row r="31" ht="21.75" customHeight="1" s="81">
      <c r="A31" s="159" t="inlineStr">
        <is>
          <t>PHASE 5 — CALCULS U ET DÉPHASAGE (1 jour)</t>
        </is>
      </c>
      <c r="B31" s="103" t="n"/>
      <c r="C31" s="103" t="n"/>
    </row>
    <row r="32" ht="30" customHeight="1" s="81">
      <c r="A32" s="160" t="inlineStr">
        <is>
          <t>Formule U — ISO 6946:2017</t>
        </is>
      </c>
      <c r="B32" s="161" t="inlineStr">
        <is>
          <t>Résistances en série</t>
        </is>
      </c>
      <c r="C32" s="162" t="inlineStr">
        <is>
          <t>U = 1 / (Rsi + e/λ + Rse)  avec  Rsi = 0.13 m²K/W  |  Rse = 0.04 m²K/W  |  e en mètres</t>
        </is>
      </c>
    </row>
    <row r="33" ht="30" customHeight="1" s="81">
      <c r="A33" s="160" t="inlineStr">
        <is>
          <t>Formule déphasage φ — ISO 13792:2012</t>
        </is>
      </c>
      <c r="B33" s="161" t="inlineStr">
        <is>
          <t>Amortissement thermique</t>
        </is>
      </c>
      <c r="C33" s="162" t="inlineStr">
        <is>
          <t>φ = 0.62 × √(ρ × Cp × e² / λ)  avec ρ en kg/m³ | Cp en J/kg·K | e en mètres | λ en W/m·K | résultat en heures</t>
        </is>
      </c>
    </row>
    <row r="34" ht="30" customHeight="1" s="81">
      <c r="A34" s="160" t="inlineStr">
        <is>
          <t>Épaisseurs à calculer</t>
        </is>
      </c>
      <c r="B34" s="161" t="inlineStr">
        <is>
          <t>3 valeurs par matériau</t>
        </is>
      </c>
      <c r="C34" s="162" t="inlineStr">
        <is>
          <t>15cm | 20cm | 25cm — permet à l'utilisateur de choisir dans l'interface SAISIE de SimTherm</t>
        </is>
      </c>
    </row>
    <row r="35" ht="7.5" customHeight="1" s="81"/>
    <row r="36" ht="21.75" customHeight="1" s="81">
      <c r="A36" s="159" t="inlineStr">
        <is>
          <t>PHASE 6 — COÛTS PAR PAYS (2-3 jours)</t>
        </is>
      </c>
      <c r="B36" s="103" t="n"/>
      <c r="C36" s="103" t="n"/>
    </row>
    <row r="37" ht="30" customHeight="1" s="81">
      <c r="A37" s="160" t="inlineStr">
        <is>
          <t>Pays FCFA</t>
        </is>
      </c>
      <c r="B37" s="161" t="inlineStr">
        <is>
          <t>Facteurs correction vs Bénin</t>
        </is>
      </c>
      <c r="C37" s="162" t="inlineStr">
        <is>
          <t>Burkina ×0.9 | Sénégal ×1.1 | Mali ×0.85 | CIV ×1.2 | Niger ×0.8 | Togo ×0.95 | Cameroun ×1.0</t>
        </is>
      </c>
    </row>
    <row r="38" ht="30" customHeight="1" s="81">
      <c r="A38" s="160" t="inlineStr">
        <is>
          <t>Nigeria NGN</t>
        </is>
      </c>
      <c r="B38" s="161" t="inlineStr">
        <is>
          <t>Sites marchands</t>
        </is>
      </c>
      <c r="C38" s="162" t="inlineStr">
        <is>
          <t>buildersmart.ng | jumia.com.ng/building — vérifier prix locaux 2025</t>
        </is>
      </c>
    </row>
    <row r="39" ht="30" customHeight="1" s="81">
      <c r="A39" s="160" t="inlineStr">
        <is>
          <t>Ghana GHS</t>
        </is>
      </c>
      <c r="B39" s="161" t="inlineStr">
        <is>
          <t>Fournisseurs locaux</t>
        </is>
      </c>
      <c r="C39" s="162" t="inlineStr">
        <is>
          <t>regimanuelgrant.com | buildmart.co.ke — vérifier prix locaux 2025</t>
        </is>
      </c>
    </row>
    <row r="40" ht="30" customHeight="1" s="81">
      <c r="A40" s="160" t="inlineStr">
        <is>
          <t>Kenya KSH</t>
        </is>
      </c>
      <c r="B40" s="161" t="inlineStr">
        <is>
          <t>NCA Kenya</t>
        </is>
      </c>
      <c r="C40" s="162" t="inlineStr">
        <is>
          <t>nca.go.ke — données prix matériaux — actualiser 2025</t>
        </is>
      </c>
    </row>
    <row r="41" ht="7.5" customHeight="1" s="81"/>
    <row r="42" ht="21.75" customHeight="1" s="81">
      <c r="A42" s="163" t="inlineStr">
        <is>
          <t>CONTRÔLE QUALITÉ FINAL</t>
        </is>
      </c>
      <c r="B42" s="103" t="n"/>
      <c r="C42" s="103" t="n"/>
    </row>
    <row r="43" ht="30" customHeight="1" s="81">
      <c r="A43" s="160" t="inlineStr">
        <is>
          <t>BD_MATERIAUX</t>
        </is>
      </c>
      <c r="B43" s="161" t="inlineStr">
        <is>
          <t>Vérifications obligatoires</t>
        </is>
      </c>
      <c r="C43" s="164" t="inlineStr">
        <is>
          <t>☐ Chaque matériau a DOI ou référence | ☐ N1/N2/N3 renseigné | ☐ U calculé ISO 6946 | ☐ Analogies signalées | ☐ Lacunes documentées</t>
        </is>
      </c>
    </row>
    <row r="44" ht="30" customHeight="1" s="81">
      <c r="A44" s="160" t="inlineStr">
        <is>
          <t>BD_CLIMAT</t>
        </is>
      </c>
      <c r="B44" s="161" t="inlineStr">
        <is>
          <t>Vérifications obligatoires</t>
        </is>
      </c>
      <c r="C44" s="164" t="inlineStr">
        <is>
          <t>☐ Zone Köppen vérifiée | ☐ Tmoy ≈ (Tmin+Tmax)/2 | ☐ GHI cohérent avec zone (aride &gt; 6 kWh/m²/j)</t>
        </is>
      </c>
    </row>
    <row r="45" ht="30" customHeight="1" s="81">
      <c r="A45" s="160" t="inlineStr">
        <is>
          <t>BD_PAYS</t>
        </is>
      </c>
      <c r="B45" s="161" t="inlineStr">
        <is>
          <t>Vérifications obligatoires</t>
        </is>
      </c>
      <c r="C45" s="164" t="inlineStr">
        <is>
          <t>☐ T°neutralité mesurées séparées des estimées | ☐ Monnaies à jour 2025 | ☐ Classes confort A/B/C/D définies par T°neutralité</t>
        </is>
      </c>
    </row>
    <row r="46" ht="21.75" customHeight="1" s="81">
      <c r="A46" s="165" t="inlineStr">
        <is>
          <t>CALENDRIER — 10 semaines</t>
        </is>
      </c>
      <c r="B46" s="103" t="n"/>
      <c r="C46" s="103" t="n"/>
    </row>
  </sheetData>
  <mergeCells count="11">
    <mergeCell ref="A10:C10"/>
    <mergeCell ref="A28:C28"/>
    <mergeCell ref="A42:C42"/>
    <mergeCell ref="A36:C36"/>
    <mergeCell ref="A5:C5"/>
    <mergeCell ref="A23:C23"/>
    <mergeCell ref="A46:C46"/>
    <mergeCell ref="A31:C31"/>
    <mergeCell ref="A1:S1"/>
    <mergeCell ref="A15:C15"/>
    <mergeCell ref="A2:S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2026-04-14T07:52:13Z</dcterms:created>
  <dcterms:modified xmlns:dcterms="http://purl.org/dc/terms/" xmlns:xsi="http://www.w3.org/2001/XMLSchema-instance" xsi:type="dcterms:W3CDTF">2026-08-17T11:14:48Z</dcterms:modified>
  <cp:revision>0</cp:revision>
</cp:coreProperties>
</file>